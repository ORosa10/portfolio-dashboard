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rckwy.sharepoint.com/sites/rockaway/Alpha Fund/03_Portfolio/_Reviews/Onepager monthly reporting/"/>
    </mc:Choice>
  </mc:AlternateContent>
  <xr:revisionPtr revIDLastSave="35" documentId="8_{8A2C6066-B637-4FB9-9DF1-28F22A65DA7F}" xr6:coauthVersionLast="47" xr6:coauthVersionMax="47" xr10:uidLastSave="{072C9ECA-6D82-4C59-8E1B-AF73090D8809}"/>
  <bookViews>
    <workbookView xWindow="-98" yWindow="-98" windowWidth="19396" windowHeight="11475" tabRatio="866" firstSheet="1" activeTab="5" xr2:uid="{D75F6C2B-66F2-E74A-A945-72356F465C7C}"/>
  </bookViews>
  <sheets>
    <sheet name="__snloffice" sheetId="415" state="veryHidden" r:id="rId1"/>
    <sheet name="EMG" sheetId="45" r:id="rId2"/>
    <sheet name="Sources ---&gt;" sheetId="4" r:id="rId3"/>
    <sheet name="FX" sheetId="391" state="hidden" r:id="rId4"/>
    <sheet name="EMG_act" sheetId="7" r:id="rId5"/>
    <sheet name="EMG_bud" sheetId="5" r:id="rId6"/>
    <sheet name="LoV" sheetId="6" state="hidden" r:id="rId7"/>
  </sheets>
  <externalReferences>
    <externalReference r:id="rId8"/>
  </externalReferences>
  <definedNames>
    <definedName name="_Act_M">#REF!</definedName>
    <definedName name="_Act_Y">#REF!</definedName>
    <definedName name="_AL_Setup">#REF!</definedName>
    <definedName name="_Books">#REF!</definedName>
    <definedName name="_H">[1]Info!$C$12</definedName>
    <definedName name="_Import">#REF!</definedName>
    <definedName name="_Import_BS">#REF!</definedName>
    <definedName name="_Import_KPI">#REF!</definedName>
    <definedName name="_Import_Sales_Books">#REF!</definedName>
    <definedName name="_Import_Sales_NonBooks">#REF!</definedName>
    <definedName name="_Key1" hidden="1">#REF!</definedName>
    <definedName name="_Lines">#REF!</definedName>
    <definedName name="_List_Rep">#REF!</definedName>
    <definedName name="_Nb">N(#REF!)+1</definedName>
    <definedName name="_Order1" hidden="1">255</definedName>
    <definedName name="_P_Act_M">#REF!</definedName>
    <definedName name="_P_Comp">#REF!</definedName>
    <definedName name="_P_Curr_R">#REF!</definedName>
    <definedName name="_P_FM">#REF!</definedName>
    <definedName name="_P_FX_EUR">#REF!</definedName>
    <definedName name="_P_FX_Rep">#REF!</definedName>
    <definedName name="_P_FY">#REF!</definedName>
    <definedName name="_P_LY_Closed">#REF!</definedName>
    <definedName name="_P_U">#REF!</definedName>
    <definedName name="_P_U_R">#REF!</definedName>
    <definedName name="_Products">#REF!</definedName>
    <definedName name="_R">#REF!</definedName>
    <definedName name="_R_III">#REF!</definedName>
    <definedName name="_R_Rows">#REF!</definedName>
    <definedName name="_Rep">#REF!</definedName>
    <definedName name="_S_AK">#REF!</definedName>
    <definedName name="_S_AK_II">#REF!</definedName>
    <definedName name="_S_BS">#REF!</definedName>
    <definedName name="_S_Dist">#REF!</definedName>
    <definedName name="_S_H">#REF!</definedName>
    <definedName name="_S_Months">#REF!</definedName>
    <definedName name="_S_Months_I">#REF!</definedName>
    <definedName name="_S_Months_Select">#REF!</definedName>
    <definedName name="_S_Periods_I">#REF!</definedName>
    <definedName name="_S_Rep_Lines">#REF!</definedName>
    <definedName name="_S_Types_I">#REF!</definedName>
    <definedName name="_S_Ucel">#REF!</definedName>
    <definedName name="_S_Ucel_Al">#REF!</definedName>
    <definedName name="_S_Units">#REF!</definedName>
    <definedName name="_S_Units_I">#REF!</definedName>
    <definedName name="_S_Years_I">#REF!</definedName>
    <definedName name="_Sales_Ch">#REF!</definedName>
    <definedName name="_Sales_Ch_M">#REF!</definedName>
    <definedName name="_Setup">#REF!</definedName>
    <definedName name="_Sort" hidden="1">#REF!</definedName>
    <definedName name="_U">#REF!</definedName>
    <definedName name="CIQWBGuid" hidden="1">"c136e63a-3fd8-40bf-ad4b-662b533d2cb8"</definedName>
    <definedName name="CIQWBInfo" hidden="1">"{ ""CIQVersion"":""9.51.3510.3078"" }"</definedName>
    <definedName name="dwasdsa">#REF!</definedName>
    <definedName name="EUR_CZK">#REF!</definedName>
    <definedName name="Get_Data">_xlfn.LAMBDA(_xlpm.type,_xlpm.year,_xlpm.month,_xlpm.period,_xlpm.code,IFERROR(GETPIVOTDATA(TEXT(_xlpm.period,"@"),#REF!,"Type",_xlpm.type,"Year",_xlpm.year,"Month",_xlpm.month,"L"&amp;(LEN(_xlpm.code)-LEN(SUBSTITUTE(_xlpm.code,".",""))+1),_xlpm.code),0))</definedName>
    <definedName name="IQ_CH">110000</definedName>
    <definedName name="IQ_CQ">5000</definedName>
    <definedName name="IQ_CY">10000</definedName>
    <definedName name="IQ_DAILY">500000</definedName>
    <definedName name="IQ_DNTM" hidden="1">700000</definedName>
    <definedName name="IQ_EXPENSE_CODE_" hidden="1">"test"</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"11/25/2024 08:42:02"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EMG!$B$3:$Q$34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45" l="1"/>
  <c r="BW2" i="5"/>
  <c r="BK10" i="5"/>
  <c r="BK2" i="5" s="1"/>
  <c r="BY22" i="5"/>
  <c r="BZ22" i="5"/>
  <c r="CA22" i="5"/>
  <c r="CB22" i="5"/>
  <c r="CC22" i="5"/>
  <c r="CD22" i="5"/>
  <c r="CE22" i="5"/>
  <c r="CF22" i="5"/>
  <c r="CG22" i="5"/>
  <c r="CH22" i="5"/>
  <c r="BY20" i="5"/>
  <c r="BZ20" i="5"/>
  <c r="CA20" i="5"/>
  <c r="CB20" i="5"/>
  <c r="CC20" i="5"/>
  <c r="CD20" i="5"/>
  <c r="CE20" i="5"/>
  <c r="CF20" i="5"/>
  <c r="CG20" i="5"/>
  <c r="CH20" i="5"/>
  <c r="BY18" i="5"/>
  <c r="BZ18" i="5"/>
  <c r="CA18" i="5"/>
  <c r="CB18" i="5"/>
  <c r="CC18" i="5"/>
  <c r="CD18" i="5"/>
  <c r="CE18" i="5"/>
  <c r="CF18" i="5"/>
  <c r="CG18" i="5"/>
  <c r="CH18" i="5"/>
  <c r="BW29" i="5"/>
  <c r="BX29" i="5"/>
  <c r="BY29" i="5"/>
  <c r="BZ29" i="5"/>
  <c r="CA29" i="5"/>
  <c r="CB29" i="5"/>
  <c r="CC29" i="5"/>
  <c r="CD29" i="5"/>
  <c r="CE29" i="5"/>
  <c r="CF29" i="5"/>
  <c r="CG29" i="5"/>
  <c r="CH29" i="5"/>
  <c r="BW6" i="5"/>
  <c r="BX6" i="5"/>
  <c r="BY6" i="5"/>
  <c r="BZ6" i="5"/>
  <c r="CA6" i="5"/>
  <c r="CB6" i="5"/>
  <c r="CC6" i="5"/>
  <c r="CD6" i="5"/>
  <c r="CE6" i="5"/>
  <c r="CF6" i="5"/>
  <c r="CG6" i="5"/>
  <c r="CH6" i="5"/>
  <c r="BV6" i="5"/>
  <c r="BU5" i="5"/>
  <c r="BY2" i="7"/>
  <c r="BZ2" i="7" s="1"/>
  <c r="CA2" i="7" s="1"/>
  <c r="CB2" i="7" s="1"/>
  <c r="CC2" i="7" s="1"/>
  <c r="CD2" i="7" s="1"/>
  <c r="CE2" i="7" s="1"/>
  <c r="CF2" i="7" s="1"/>
  <c r="CG2" i="7" s="1"/>
  <c r="CH2" i="7" s="1"/>
  <c r="BW2" i="7"/>
  <c r="BX2" i="7" s="1"/>
  <c r="BW10" i="7"/>
  <c r="BW11" i="7"/>
  <c r="BX11" i="7"/>
  <c r="BY11" i="7"/>
  <c r="BZ11" i="7"/>
  <c r="CA11" i="7"/>
  <c r="CB11" i="7"/>
  <c r="CC11" i="7"/>
  <c r="CD11" i="7"/>
  <c r="CE11" i="7"/>
  <c r="CF11" i="7"/>
  <c r="CG11" i="7"/>
  <c r="CH11" i="7"/>
  <c r="BX5" i="7"/>
  <c r="BY5" i="7" s="1"/>
  <c r="BZ5" i="7" s="1"/>
  <c r="CA5" i="7" s="1"/>
  <c r="CB5" i="7" s="1"/>
  <c r="CC5" i="7" s="1"/>
  <c r="CD5" i="7" s="1"/>
  <c r="CE5" i="7" s="1"/>
  <c r="CF5" i="7" s="1"/>
  <c r="CG5" i="7" s="1"/>
  <c r="CH5" i="7" s="1"/>
  <c r="BW5" i="7"/>
  <c r="BJ68" i="7" l="1"/>
  <c r="BI68" i="7"/>
  <c r="BH68" i="7"/>
  <c r="BS29" i="7" l="1"/>
  <c r="D5" i="6" l="1"/>
  <c r="D6" i="6" s="1"/>
  <c r="D7" i="6" s="1"/>
  <c r="D8" i="6" s="1"/>
  <c r="D9" i="6" s="1"/>
  <c r="D10" i="6" s="1"/>
  <c r="D11" i="6" s="1"/>
  <c r="D12" i="6" s="1"/>
  <c r="D13" i="6" s="1"/>
  <c r="D14" i="6" s="1"/>
  <c r="D15" i="6" s="1"/>
  <c r="D16" i="6" s="1"/>
  <c r="C29" i="5" l="1"/>
  <c r="D29" i="5"/>
  <c r="E29" i="5"/>
  <c r="F29" i="5"/>
  <c r="G29" i="5"/>
  <c r="H29" i="5"/>
  <c r="I29" i="5"/>
  <c r="J29" i="5"/>
  <c r="K29" i="5"/>
  <c r="L29" i="5"/>
  <c r="M29" i="5"/>
  <c r="N29" i="5"/>
  <c r="S29" i="5"/>
  <c r="T29" i="5"/>
  <c r="U29" i="5"/>
  <c r="V29" i="5"/>
  <c r="BK29" i="5"/>
  <c r="BL29" i="5"/>
  <c r="BM29" i="5"/>
  <c r="BN29" i="5"/>
  <c r="BO29" i="5"/>
  <c r="BP29" i="5"/>
  <c r="BQ29" i="5"/>
  <c r="BR29" i="5"/>
  <c r="BS29" i="5"/>
  <c r="BT29" i="5"/>
  <c r="BU29" i="5"/>
  <c r="BV29" i="5"/>
  <c r="AA29" i="5"/>
  <c r="AB29" i="5"/>
  <c r="AC29" i="5"/>
  <c r="AD29" i="5"/>
  <c r="AE29" i="5"/>
  <c r="AF29" i="5"/>
  <c r="AG29" i="5"/>
  <c r="AH29" i="5"/>
  <c r="AI29" i="5"/>
  <c r="AJ29" i="5"/>
  <c r="AK29" i="5"/>
  <c r="AL29" i="5"/>
  <c r="AM29" i="5"/>
  <c r="AN29" i="5"/>
  <c r="AO29" i="5"/>
  <c r="AP29" i="5"/>
  <c r="AQ29" i="5"/>
  <c r="AR29" i="5"/>
  <c r="AS29" i="5"/>
  <c r="AT29" i="5"/>
  <c r="AU29" i="5"/>
  <c r="AV29" i="5"/>
  <c r="AW29" i="5"/>
  <c r="AX29" i="5"/>
  <c r="AY29" i="5"/>
  <c r="AZ29" i="5"/>
  <c r="BA29" i="5"/>
  <c r="BB29" i="5"/>
  <c r="BC29" i="5"/>
  <c r="BD29" i="5"/>
  <c r="BE29" i="5"/>
  <c r="BF29" i="5"/>
  <c r="BG29" i="5"/>
  <c r="BH29" i="5"/>
  <c r="BI29" i="5"/>
  <c r="BJ29" i="5"/>
  <c r="AA64" i="5"/>
  <c r="AB64" i="5"/>
  <c r="AC64" i="5"/>
  <c r="AD64" i="5"/>
  <c r="AE64" i="5"/>
  <c r="AF64" i="5"/>
  <c r="AG64" i="5"/>
  <c r="AH64" i="5"/>
  <c r="AI64" i="5"/>
  <c r="AJ64" i="5"/>
  <c r="AK64" i="5"/>
  <c r="AL64" i="5"/>
  <c r="AM64" i="5"/>
  <c r="AN64" i="5"/>
  <c r="AO64" i="5"/>
  <c r="AP64" i="5"/>
  <c r="AQ64" i="5"/>
  <c r="AR64" i="5"/>
  <c r="AS64" i="5"/>
  <c r="AT64" i="5"/>
  <c r="AU64" i="5"/>
  <c r="AV64" i="5"/>
  <c r="AW64" i="5"/>
  <c r="AX64" i="5"/>
  <c r="C50" i="7"/>
  <c r="D50" i="7"/>
  <c r="E50" i="7"/>
  <c r="F50" i="7"/>
  <c r="G50" i="7"/>
  <c r="H50" i="7"/>
  <c r="I50" i="7"/>
  <c r="J50" i="7"/>
  <c r="K50" i="7"/>
  <c r="L50" i="7"/>
  <c r="M50" i="7"/>
  <c r="N50" i="7"/>
  <c r="D29" i="7"/>
  <c r="E29" i="7"/>
  <c r="F29" i="7"/>
  <c r="G29" i="7"/>
  <c r="H29" i="7"/>
  <c r="I29" i="7"/>
  <c r="J29" i="7"/>
  <c r="K29" i="7"/>
  <c r="L29" i="7"/>
  <c r="M29" i="7"/>
  <c r="N29" i="7"/>
  <c r="O29" i="7"/>
  <c r="P29" i="7"/>
  <c r="Q29" i="7"/>
  <c r="R29" i="7"/>
  <c r="S29" i="7"/>
  <c r="T29" i="7"/>
  <c r="U29" i="7"/>
  <c r="V29" i="7"/>
  <c r="W29" i="7"/>
  <c r="X29" i="7"/>
  <c r="Y29" i="7"/>
  <c r="Z29" i="7"/>
  <c r="AA29" i="7"/>
  <c r="AB29" i="7"/>
  <c r="AC29" i="7"/>
  <c r="AD29" i="7"/>
  <c r="AE29" i="7"/>
  <c r="AF29" i="7"/>
  <c r="AG29" i="7"/>
  <c r="AH29" i="7"/>
  <c r="AI29" i="7"/>
  <c r="AJ29" i="7"/>
  <c r="AK29" i="7"/>
  <c r="AL29" i="7"/>
  <c r="AY29" i="7"/>
  <c r="AZ29" i="7"/>
  <c r="BA29" i="7"/>
  <c r="BB29" i="7"/>
  <c r="BC29" i="7"/>
  <c r="BD29" i="7"/>
  <c r="BE29" i="7"/>
  <c r="BF29" i="7"/>
  <c r="BG29" i="7"/>
  <c r="BH29" i="7"/>
  <c r="BI29" i="7"/>
  <c r="BJ29" i="7"/>
  <c r="BK29" i="7"/>
  <c r="BL29" i="7"/>
  <c r="BM29" i="7"/>
  <c r="BN29" i="7"/>
  <c r="BO29" i="7"/>
  <c r="BP29" i="7"/>
  <c r="BQ29" i="7"/>
  <c r="BR29" i="7"/>
  <c r="BT29" i="7"/>
  <c r="BU29" i="7"/>
  <c r="BV29" i="7"/>
  <c r="C29" i="7"/>
  <c r="C38" i="7"/>
  <c r="D38" i="7" s="1"/>
  <c r="D41" i="7" s="1"/>
  <c r="N41" i="7"/>
  <c r="O41" i="7"/>
  <c r="P41" i="7"/>
  <c r="Q41" i="7"/>
  <c r="R41" i="7"/>
  <c r="S41" i="7"/>
  <c r="T41" i="7"/>
  <c r="U41" i="7"/>
  <c r="O50" i="7"/>
  <c r="P50" i="7"/>
  <c r="Q50" i="7"/>
  <c r="R50" i="7"/>
  <c r="S50" i="7"/>
  <c r="T50" i="7"/>
  <c r="U50" i="7"/>
  <c r="V50" i="7"/>
  <c r="W50" i="7"/>
  <c r="X50" i="7"/>
  <c r="Y50" i="7"/>
  <c r="Z50" i="7"/>
  <c r="AA50" i="7"/>
  <c r="AB50" i="7"/>
  <c r="AC50" i="7"/>
  <c r="AD50" i="7"/>
  <c r="AE50" i="7"/>
  <c r="AF50" i="7"/>
  <c r="AG50" i="7"/>
  <c r="AH50" i="7"/>
  <c r="AI50" i="7"/>
  <c r="AJ50" i="7"/>
  <c r="AK50" i="7"/>
  <c r="AL50" i="7"/>
  <c r="C55" i="7"/>
  <c r="D55" i="7"/>
  <c r="E55" i="7"/>
  <c r="F55" i="7"/>
  <c r="G55" i="7"/>
  <c r="H55" i="7"/>
  <c r="I55" i="7"/>
  <c r="J55" i="7"/>
  <c r="K55" i="7"/>
  <c r="L55" i="7"/>
  <c r="M55" i="7"/>
  <c r="N55" i="7"/>
  <c r="O55" i="7"/>
  <c r="P55" i="7"/>
  <c r="Q55" i="7"/>
  <c r="R55" i="7"/>
  <c r="S55" i="7"/>
  <c r="T55" i="7"/>
  <c r="U55" i="7"/>
  <c r="V55" i="7"/>
  <c r="W55" i="7"/>
  <c r="X55" i="7"/>
  <c r="Y55" i="7"/>
  <c r="Z55" i="7"/>
  <c r="AA55" i="7"/>
  <c r="AB55" i="7"/>
  <c r="AC55" i="7"/>
  <c r="AD55" i="7"/>
  <c r="AE55" i="7"/>
  <c r="AF55" i="7"/>
  <c r="AG55" i="7"/>
  <c r="AH55" i="7"/>
  <c r="AI55" i="7"/>
  <c r="AJ55" i="7"/>
  <c r="AK55" i="7"/>
  <c r="AL55" i="7"/>
  <c r="O64" i="7"/>
  <c r="P64" i="7"/>
  <c r="Q64" i="7"/>
  <c r="R64" i="7"/>
  <c r="S64" i="7"/>
  <c r="T64" i="7"/>
  <c r="U64" i="7"/>
  <c r="V64" i="7"/>
  <c r="W64" i="7"/>
  <c r="X64" i="7"/>
  <c r="Y64" i="7"/>
  <c r="Z64" i="7"/>
  <c r="AA64" i="7"/>
  <c r="AB64" i="7"/>
  <c r="AC64" i="7"/>
  <c r="AD64" i="7"/>
  <c r="AE64" i="7"/>
  <c r="AF64" i="7"/>
  <c r="AG64" i="7"/>
  <c r="AH64" i="7"/>
  <c r="AI64" i="7"/>
  <c r="AJ64" i="7"/>
  <c r="AK64" i="7"/>
  <c r="AL64" i="7"/>
  <c r="N71" i="7"/>
  <c r="AV73" i="7"/>
  <c r="O29" i="5" l="1"/>
  <c r="P29" i="5"/>
  <c r="R29" i="5"/>
  <c r="W29" i="5"/>
  <c r="X29" i="5"/>
  <c r="Z29" i="5"/>
  <c r="E38" i="7"/>
  <c r="C41" i="7"/>
  <c r="Y29" i="5"/>
  <c r="Q29" i="5"/>
  <c r="F38" i="7" l="1"/>
  <c r="E41" i="7"/>
  <c r="G38" i="7" l="1"/>
  <c r="F41" i="7"/>
  <c r="G53" i="45"/>
  <c r="E53" i="45"/>
  <c r="E54" i="45" s="1"/>
  <c r="E55" i="45" s="1"/>
  <c r="E56" i="45" s="1"/>
  <c r="E57" i="45" s="1"/>
  <c r="E58" i="45" s="1"/>
  <c r="E59" i="45" s="1"/>
  <c r="E60" i="45" s="1"/>
  <c r="E61" i="45" s="1"/>
  <c r="E62" i="45" s="1"/>
  <c r="E63" i="45" s="1"/>
  <c r="E64" i="45" s="1"/>
  <c r="J6" i="5" l="1"/>
  <c r="AA6" i="5"/>
  <c r="S6" i="5"/>
  <c r="AJ6" i="5"/>
  <c r="AB6" i="5"/>
  <c r="AS6" i="5"/>
  <c r="BJ6" i="5"/>
  <c r="BB6" i="5"/>
  <c r="BN6" i="5"/>
  <c r="BR6" i="5"/>
  <c r="H6" i="7"/>
  <c r="Y6" i="7"/>
  <c r="Q6" i="7"/>
  <c r="I6" i="5"/>
  <c r="Z6" i="5"/>
  <c r="R6" i="5"/>
  <c r="AI6" i="5"/>
  <c r="AR6" i="5"/>
  <c r="BI6" i="5"/>
  <c r="BA6" i="5"/>
  <c r="O6" i="7"/>
  <c r="G6" i="7"/>
  <c r="X6" i="7"/>
  <c r="P6" i="7"/>
  <c r="AG6" i="7"/>
  <c r="AX6" i="7"/>
  <c r="AP6" i="7"/>
  <c r="BG6" i="7"/>
  <c r="H6" i="5"/>
  <c r="Y6" i="5"/>
  <c r="Q6" i="5"/>
  <c r="AH6" i="5"/>
  <c r="AY6" i="5"/>
  <c r="AQ6" i="5"/>
  <c r="BH6" i="5"/>
  <c r="AZ6" i="5"/>
  <c r="BO6" i="5"/>
  <c r="BS6" i="5"/>
  <c r="N6" i="7"/>
  <c r="F6" i="7"/>
  <c r="W6" i="7"/>
  <c r="AF6" i="7"/>
  <c r="AW6" i="7"/>
  <c r="AO6" i="7"/>
  <c r="BF6" i="7"/>
  <c r="BL6" i="7"/>
  <c r="BP6" i="7"/>
  <c r="BT6" i="7"/>
  <c r="O6" i="5"/>
  <c r="G6" i="5"/>
  <c r="X6" i="5"/>
  <c r="P6" i="5"/>
  <c r="AG6" i="5"/>
  <c r="AX6" i="5"/>
  <c r="AP6" i="5"/>
  <c r="BG6" i="5"/>
  <c r="C6" i="7"/>
  <c r="M6" i="7"/>
  <c r="E6" i="7"/>
  <c r="V6" i="7"/>
  <c r="AM6" i="7"/>
  <c r="AE6" i="7"/>
  <c r="AV6" i="7"/>
  <c r="AN6" i="7"/>
  <c r="BE6" i="7"/>
  <c r="N6" i="5"/>
  <c r="F6" i="5"/>
  <c r="W6" i="5"/>
  <c r="AF6" i="5"/>
  <c r="AW6" i="5"/>
  <c r="AO6" i="5"/>
  <c r="BF6" i="5"/>
  <c r="BL6" i="5"/>
  <c r="BP6" i="5"/>
  <c r="BT6" i="5"/>
  <c r="L6" i="7"/>
  <c r="D6" i="7"/>
  <c r="U6" i="7"/>
  <c r="AL6" i="7"/>
  <c r="C6" i="5"/>
  <c r="M6" i="5"/>
  <c r="E6" i="5"/>
  <c r="V6" i="5"/>
  <c r="AM6" i="5"/>
  <c r="AE6" i="5"/>
  <c r="AV6" i="5"/>
  <c r="AN6" i="5"/>
  <c r="BE6" i="5"/>
  <c r="K6" i="7"/>
  <c r="T6" i="7"/>
  <c r="AK6" i="7"/>
  <c r="AC6" i="7"/>
  <c r="AT6" i="7"/>
  <c r="BK6" i="7"/>
  <c r="BC6" i="7"/>
  <c r="L6" i="5"/>
  <c r="D6" i="5"/>
  <c r="U6" i="5"/>
  <c r="AL6" i="5"/>
  <c r="AD6" i="5"/>
  <c r="AU6" i="5"/>
  <c r="BD6" i="5"/>
  <c r="BM6" i="5"/>
  <c r="BQ6" i="5"/>
  <c r="BU6" i="5"/>
  <c r="J6" i="7"/>
  <c r="AA6" i="7"/>
  <c r="S6" i="7"/>
  <c r="AJ6" i="7"/>
  <c r="AB6" i="7"/>
  <c r="AS6" i="7"/>
  <c r="BJ6" i="7"/>
  <c r="BB6" i="7"/>
  <c r="BN6" i="7"/>
  <c r="BR6" i="7"/>
  <c r="BV6" i="7"/>
  <c r="K6" i="5"/>
  <c r="T6" i="5"/>
  <c r="AK6" i="5"/>
  <c r="AC6" i="5"/>
  <c r="AT6" i="5"/>
  <c r="BK6" i="5"/>
  <c r="BC6" i="5"/>
  <c r="I6" i="7"/>
  <c r="Z6" i="7"/>
  <c r="R6" i="7"/>
  <c r="AI6" i="7"/>
  <c r="AR6" i="7"/>
  <c r="BI6" i="7"/>
  <c r="BA6" i="7"/>
  <c r="BS6" i="7"/>
  <c r="BU6" i="7"/>
  <c r="AH6" i="7"/>
  <c r="AY6" i="7"/>
  <c r="AD6" i="7"/>
  <c r="AU6" i="7"/>
  <c r="AQ6" i="7"/>
  <c r="BH6" i="7"/>
  <c r="BD6" i="7"/>
  <c r="BM6" i="7"/>
  <c r="AZ6" i="7"/>
  <c r="BO6" i="7"/>
  <c r="BQ6" i="7"/>
  <c r="G41" i="7"/>
  <c r="H38" i="7"/>
  <c r="H53" i="45"/>
  <c r="D8" i="45"/>
  <c r="R13" i="45"/>
  <c r="S13" i="45"/>
  <c r="V13" i="45"/>
  <c r="S33" i="45"/>
  <c r="T33" i="45" s="1"/>
  <c r="K53" i="45" a="1"/>
  <c r="K53" i="45" l="1"/>
  <c r="I6" i="45" s="1"/>
  <c r="C11" i="5"/>
  <c r="C10" i="5"/>
  <c r="D5" i="5"/>
  <c r="D11" i="5" s="1"/>
  <c r="I38" i="7"/>
  <c r="H41" i="7"/>
  <c r="C10" i="7"/>
  <c r="D5" i="7"/>
  <c r="D11" i="7" s="1"/>
  <c r="C11" i="7"/>
  <c r="BW28" i="5" l="1" a="1"/>
  <c r="BW28" i="5" s="1"/>
  <c r="G12" i="45"/>
  <c r="G13" i="45" s="1"/>
  <c r="E5" i="5"/>
  <c r="J38" i="7"/>
  <c r="I41" i="7"/>
  <c r="D2" i="5"/>
  <c r="D28" i="5" s="1" a="1"/>
  <c r="D28" i="5" s="1"/>
  <c r="L2" i="5"/>
  <c r="L28" i="5" s="1" a="1"/>
  <c r="L28" i="5" s="1"/>
  <c r="E2" i="5"/>
  <c r="E28" i="5" s="1" a="1"/>
  <c r="E28" i="5" s="1"/>
  <c r="M2" i="5"/>
  <c r="M28" i="5" s="1" a="1"/>
  <c r="M28" i="5" s="1"/>
  <c r="F2" i="5"/>
  <c r="F28" i="5" s="1" a="1"/>
  <c r="F28" i="5" s="1"/>
  <c r="N2" i="5"/>
  <c r="N28" i="5" s="1" a="1"/>
  <c r="N28" i="5" s="1"/>
  <c r="G2" i="5"/>
  <c r="G28" i="5" s="1" a="1"/>
  <c r="G28" i="5" s="1"/>
  <c r="H2" i="5"/>
  <c r="H28" i="5" s="1" a="1"/>
  <c r="H28" i="5" s="1"/>
  <c r="I2" i="5"/>
  <c r="I28" i="5" s="1" a="1"/>
  <c r="I28" i="5" s="1"/>
  <c r="J2" i="5"/>
  <c r="J28" i="5" s="1" a="1"/>
  <c r="J28" i="5" s="1"/>
  <c r="C2" i="5"/>
  <c r="C28" i="5" s="1" a="1"/>
  <c r="C28" i="5" s="1"/>
  <c r="K2" i="5"/>
  <c r="K28" i="5" s="1" a="1"/>
  <c r="K28" i="5" s="1"/>
  <c r="F2" i="7"/>
  <c r="N2" i="7"/>
  <c r="G2" i="7"/>
  <c r="H2" i="7"/>
  <c r="I2" i="7"/>
  <c r="J2" i="7"/>
  <c r="C2" i="7"/>
  <c r="K2" i="7"/>
  <c r="D2" i="7"/>
  <c r="L2" i="7"/>
  <c r="E2" i="7"/>
  <c r="M2" i="7"/>
  <c r="E5" i="7"/>
  <c r="E11" i="5" l="1"/>
  <c r="F5" i="5"/>
  <c r="E11" i="7"/>
  <c r="F5" i="7"/>
  <c r="K38" i="7"/>
  <c r="J41" i="7"/>
  <c r="H12" i="45"/>
  <c r="F11" i="5" l="1"/>
  <c r="G5" i="5"/>
  <c r="F11" i="7"/>
  <c r="G5" i="7"/>
  <c r="I12" i="45"/>
  <c r="H13" i="45"/>
  <c r="L38" i="7"/>
  <c r="K41" i="7"/>
  <c r="G11" i="5" l="1"/>
  <c r="H5" i="5"/>
  <c r="G11" i="7"/>
  <c r="H5" i="7"/>
  <c r="M38" i="7"/>
  <c r="M41" i="7" s="1"/>
  <c r="L41" i="7"/>
  <c r="I13" i="45"/>
  <c r="K12" i="45"/>
  <c r="R12" i="45"/>
  <c r="I5" i="5" l="1"/>
  <c r="H11" i="5"/>
  <c r="H11" i="7"/>
  <c r="I5" i="7"/>
  <c r="S12" i="45"/>
  <c r="L12" i="45"/>
  <c r="K13" i="45"/>
  <c r="I11" i="5" l="1"/>
  <c r="J5" i="5"/>
  <c r="V12" i="45"/>
  <c r="O12" i="45"/>
  <c r="L13" i="45"/>
  <c r="I11" i="7"/>
  <c r="J5" i="7"/>
  <c r="J11" i="5" l="1"/>
  <c r="K5" i="5"/>
  <c r="O13" i="45"/>
  <c r="J11" i="7"/>
  <c r="K5" i="7"/>
  <c r="K11" i="5" l="1"/>
  <c r="L5" i="5"/>
  <c r="K11" i="7"/>
  <c r="L5" i="7"/>
  <c r="L11" i="5" l="1"/>
  <c r="M5" i="5"/>
  <c r="L11" i="7"/>
  <c r="M5" i="7"/>
  <c r="N5" i="5" l="1"/>
  <c r="M11" i="5"/>
  <c r="M11" i="7"/>
  <c r="N5" i="7"/>
  <c r="O5" i="5" l="1"/>
  <c r="N11" i="5"/>
  <c r="N11" i="7"/>
  <c r="O5" i="7"/>
  <c r="O10" i="5" l="1"/>
  <c r="P5" i="5"/>
  <c r="O11" i="5"/>
  <c r="O11" i="7"/>
  <c r="O10" i="7"/>
  <c r="P5" i="7"/>
  <c r="P11" i="5" l="1"/>
  <c r="Q5" i="5"/>
  <c r="V2" i="5"/>
  <c r="V28" i="5" s="1" a="1"/>
  <c r="V28" i="5" s="1"/>
  <c r="Z2" i="5"/>
  <c r="Z28" i="5" s="1" a="1"/>
  <c r="Z28" i="5" s="1"/>
  <c r="O2" i="5"/>
  <c r="P2" i="5"/>
  <c r="P28" i="5" s="1" a="1"/>
  <c r="P28" i="5" s="1"/>
  <c r="X2" i="5"/>
  <c r="X28" i="5" s="1" a="1"/>
  <c r="X28" i="5" s="1"/>
  <c r="S2" i="5"/>
  <c r="S28" i="5" s="1" a="1"/>
  <c r="S28" i="5" s="1"/>
  <c r="Q2" i="5"/>
  <c r="Q28" i="5" s="1" a="1"/>
  <c r="Q28" i="5" s="1"/>
  <c r="Y2" i="5"/>
  <c r="Y28" i="5" s="1" a="1"/>
  <c r="Y28" i="5" s="1"/>
  <c r="R2" i="5"/>
  <c r="R28" i="5" s="1" a="1"/>
  <c r="R28" i="5" s="1"/>
  <c r="W2" i="5"/>
  <c r="W28" i="5" s="1" a="1"/>
  <c r="W28" i="5" s="1"/>
  <c r="T2" i="5"/>
  <c r="T28" i="5" s="1" a="1"/>
  <c r="T28" i="5" s="1"/>
  <c r="U2" i="5"/>
  <c r="U28" i="5" s="1" a="1"/>
  <c r="U28" i="5" s="1"/>
  <c r="U2" i="7"/>
  <c r="V2" i="7"/>
  <c r="O2" i="7"/>
  <c r="W2" i="7"/>
  <c r="P2" i="7"/>
  <c r="X2" i="7"/>
  <c r="Q2" i="7"/>
  <c r="Y2" i="7"/>
  <c r="R2" i="7"/>
  <c r="Z2" i="7"/>
  <c r="S2" i="7"/>
  <c r="T2" i="7"/>
  <c r="P11" i="7"/>
  <c r="Q5" i="7"/>
  <c r="O28" i="5" l="1" a="1"/>
  <c r="O28" i="5" s="1"/>
  <c r="R5" i="5"/>
  <c r="Q11" i="5"/>
  <c r="Q11" i="7"/>
  <c r="R5" i="7"/>
  <c r="R11" i="5" l="1"/>
  <c r="S5" i="5"/>
  <c r="R11" i="7"/>
  <c r="S5" i="7"/>
  <c r="S11" i="5" l="1"/>
  <c r="T5" i="5"/>
  <c r="S11" i="7"/>
  <c r="T5" i="7"/>
  <c r="T11" i="5" l="1"/>
  <c r="U5" i="5"/>
  <c r="T11" i="7"/>
  <c r="U5" i="7"/>
  <c r="U11" i="5" l="1"/>
  <c r="V5" i="5"/>
  <c r="U11" i="7"/>
  <c r="V5" i="7"/>
  <c r="V11" i="5" l="1"/>
  <c r="W5" i="5"/>
  <c r="V11" i="7"/>
  <c r="W5" i="7"/>
  <c r="W11" i="5" l="1"/>
  <c r="X5" i="5"/>
  <c r="W11" i="7"/>
  <c r="X5" i="7"/>
  <c r="X11" i="5" l="1"/>
  <c r="Y5" i="5"/>
  <c r="X11" i="7"/>
  <c r="Y5" i="7"/>
  <c r="Y11" i="5" l="1"/>
  <c r="Z5" i="5"/>
  <c r="Y11" i="7"/>
  <c r="Z5" i="7"/>
  <c r="Z11" i="5" l="1"/>
  <c r="AA5" i="5"/>
  <c r="Z11" i="7"/>
  <c r="AA5" i="7"/>
  <c r="AB5" i="5" l="1"/>
  <c r="AA10" i="5"/>
  <c r="AA11" i="5"/>
  <c r="AA11" i="7"/>
  <c r="AB5" i="7"/>
  <c r="AA10" i="7"/>
  <c r="AH2" i="5" l="1"/>
  <c r="AH28" i="5" s="1" a="1"/>
  <c r="AH28" i="5" s="1"/>
  <c r="AL2" i="5"/>
  <c r="AL28" i="5" s="1" a="1"/>
  <c r="AL28" i="5" s="1"/>
  <c r="AB2" i="5"/>
  <c r="AB28" i="5" s="1" a="1"/>
  <c r="AB28" i="5" s="1"/>
  <c r="AK2" i="5"/>
  <c r="AK28" i="5" s="1" a="1"/>
  <c r="AK28" i="5" s="1"/>
  <c r="AA2" i="5"/>
  <c r="AE2" i="5"/>
  <c r="AE28" i="5" s="1" a="1"/>
  <c r="AE28" i="5" s="1"/>
  <c r="AI2" i="5"/>
  <c r="AI28" i="5" s="1" a="1"/>
  <c r="AI28" i="5" s="1"/>
  <c r="AG2" i="5"/>
  <c r="AG28" i="5" s="1" a="1"/>
  <c r="AG28" i="5" s="1"/>
  <c r="AF2" i="5"/>
  <c r="AF28" i="5" s="1" a="1"/>
  <c r="AF28" i="5" s="1"/>
  <c r="AJ2" i="5"/>
  <c r="AJ28" i="5" s="1" a="1"/>
  <c r="AJ28" i="5" s="1"/>
  <c r="AC2" i="5"/>
  <c r="AC28" i="5" s="1" a="1"/>
  <c r="AC28" i="5" s="1"/>
  <c r="AD2" i="5"/>
  <c r="AD28" i="5" s="1" a="1"/>
  <c r="AD28" i="5" s="1"/>
  <c r="AB11" i="5"/>
  <c r="AC5" i="5"/>
  <c r="AB2" i="7"/>
  <c r="AC2" i="7"/>
  <c r="AK2" i="7"/>
  <c r="AD2" i="7"/>
  <c r="AL2" i="7"/>
  <c r="AE2" i="7"/>
  <c r="AF2" i="7"/>
  <c r="AG2" i="7"/>
  <c r="AH2" i="7"/>
  <c r="AA2" i="7"/>
  <c r="AI2" i="7"/>
  <c r="AJ2" i="7"/>
  <c r="AB11" i="7"/>
  <c r="AC5" i="7"/>
  <c r="AA28" i="5" l="1" a="1"/>
  <c r="AA28" i="5" s="1"/>
  <c r="AD5" i="5"/>
  <c r="AC11" i="5"/>
  <c r="AC11" i="7"/>
  <c r="AD5" i="7"/>
  <c r="AD11" i="5" l="1"/>
  <c r="AE5" i="5"/>
  <c r="AD11" i="7"/>
  <c r="AE5" i="7"/>
  <c r="AF5" i="5" l="1"/>
  <c r="AE11" i="5"/>
  <c r="AE11" i="7"/>
  <c r="AF5" i="7"/>
  <c r="AF11" i="5" l="1"/>
  <c r="AG5" i="5"/>
  <c r="AF11" i="7"/>
  <c r="AG5" i="7"/>
  <c r="AH5" i="5" l="1"/>
  <c r="AG11" i="5"/>
  <c r="AG11" i="7"/>
  <c r="AH5" i="7"/>
  <c r="AI5" i="5" l="1"/>
  <c r="AH11" i="5"/>
  <c r="AH11" i="7"/>
  <c r="AI5" i="7"/>
  <c r="AI11" i="5" l="1"/>
  <c r="AJ5" i="5"/>
  <c r="AI11" i="7"/>
  <c r="AJ5" i="7"/>
  <c r="AJ11" i="5" l="1"/>
  <c r="AK5" i="5"/>
  <c r="AJ11" i="7"/>
  <c r="AK5" i="7"/>
  <c r="AL5" i="5" l="1"/>
  <c r="AK11" i="5"/>
  <c r="AK11" i="7"/>
  <c r="AL5" i="7"/>
  <c r="AL11" i="5" l="1"/>
  <c r="AM5" i="5"/>
  <c r="AL11" i="7"/>
  <c r="AM5" i="7"/>
  <c r="AM11" i="5" l="1"/>
  <c r="AM10" i="5"/>
  <c r="AM2" i="5" s="1"/>
  <c r="AN5" i="5"/>
  <c r="AM11" i="7"/>
  <c r="AM10" i="7"/>
  <c r="AM2" i="7" s="1"/>
  <c r="AN5" i="7"/>
  <c r="AO5" i="5" l="1"/>
  <c r="AN11" i="5"/>
  <c r="AM28" i="5" a="1"/>
  <c r="AM28" i="5" s="1"/>
  <c r="AN2" i="5"/>
  <c r="AN11" i="7"/>
  <c r="AO5" i="7"/>
  <c r="AN2" i="7"/>
  <c r="AO2" i="7" l="1"/>
  <c r="AP2" i="7" s="1"/>
  <c r="AQ2" i="7" s="1"/>
  <c r="AR2" i="7" s="1"/>
  <c r="AS2" i="7" s="1"/>
  <c r="AT2" i="7" s="1"/>
  <c r="AU2" i="7" s="1"/>
  <c r="AV2" i="7" s="1"/>
  <c r="AO2" i="5"/>
  <c r="AN28" i="5" a="1"/>
  <c r="AN28" i="5" s="1"/>
  <c r="AO11" i="5"/>
  <c r="AP5" i="5"/>
  <c r="AO11" i="7"/>
  <c r="AP5" i="7"/>
  <c r="AW2" i="7" l="1"/>
  <c r="AP11" i="5"/>
  <c r="AQ5" i="5"/>
  <c r="AP2" i="5"/>
  <c r="AO28" i="5" a="1"/>
  <c r="AO28" i="5" s="1"/>
  <c r="AP11" i="7"/>
  <c r="AQ5" i="7"/>
  <c r="AX2" i="7" l="1"/>
  <c r="AP28" i="5" a="1"/>
  <c r="AP28" i="5" s="1"/>
  <c r="AQ2" i="5"/>
  <c r="AQ11" i="5"/>
  <c r="AR5" i="5"/>
  <c r="AQ11" i="7"/>
  <c r="AR5" i="7"/>
  <c r="AR2" i="5" l="1"/>
  <c r="AQ28" i="5" a="1"/>
  <c r="AQ28" i="5" s="1"/>
  <c r="AS5" i="5"/>
  <c r="AR11" i="5"/>
  <c r="AR11" i="7"/>
  <c r="AS5" i="7"/>
  <c r="AS11" i="5" l="1"/>
  <c r="AT5" i="5"/>
  <c r="AS2" i="5"/>
  <c r="AR28" i="5" a="1"/>
  <c r="AR28" i="5" s="1"/>
  <c r="AS11" i="7"/>
  <c r="AT5" i="7"/>
  <c r="AS28" i="5" l="1" a="1"/>
  <c r="AS28" i="5" s="1"/>
  <c r="AT2" i="5"/>
  <c r="AT11" i="5"/>
  <c r="AU5" i="5"/>
  <c r="AT11" i="7"/>
  <c r="AU5" i="7"/>
  <c r="AU11" i="5" l="1"/>
  <c r="AV5" i="5"/>
  <c r="AU2" i="5"/>
  <c r="AT28" i="5" a="1"/>
  <c r="AT28" i="5" s="1"/>
  <c r="AU11" i="7"/>
  <c r="AV5" i="7"/>
  <c r="AU28" i="5" l="1" a="1"/>
  <c r="AU28" i="5" s="1"/>
  <c r="AV2" i="5"/>
  <c r="AW5" i="5"/>
  <c r="AV11" i="5"/>
  <c r="AV11" i="7"/>
  <c r="AW5" i="7"/>
  <c r="AX5" i="5" l="1"/>
  <c r="AW11" i="5"/>
  <c r="AW2" i="5"/>
  <c r="AV28" i="5" a="1"/>
  <c r="AV28" i="5" s="1"/>
  <c r="AW11" i="7"/>
  <c r="AX5" i="7"/>
  <c r="AX2" i="5" l="1"/>
  <c r="AX28" i="5" s="1" a="1"/>
  <c r="AX28" i="5" s="1"/>
  <c r="AW28" i="5" a="1"/>
  <c r="AW28" i="5" s="1"/>
  <c r="AY5" i="5"/>
  <c r="AX11" i="5"/>
  <c r="AX11" i="7"/>
  <c r="AY5" i="7"/>
  <c r="AY11" i="5" l="1"/>
  <c r="AY10" i="5"/>
  <c r="AY2" i="5" s="1"/>
  <c r="AZ5" i="5"/>
  <c r="AY11" i="7"/>
  <c r="AZ5" i="7"/>
  <c r="AY10" i="7"/>
  <c r="AY2" i="7" s="1"/>
  <c r="BA5" i="5" l="1"/>
  <c r="AZ11" i="5"/>
  <c r="AZ2" i="5"/>
  <c r="AY28" i="5" a="1"/>
  <c r="AY28" i="5" s="1"/>
  <c r="AZ2" i="7"/>
  <c r="BA2" i="7" s="1"/>
  <c r="V32" i="45" s="1"/>
  <c r="R32" i="45"/>
  <c r="AZ11" i="7"/>
  <c r="BA5" i="7"/>
  <c r="R33" i="45" l="1"/>
  <c r="G32" i="45"/>
  <c r="K32" i="45"/>
  <c r="AZ28" i="5" a="1"/>
  <c r="AZ28" i="5" s="1"/>
  <c r="BA2" i="5"/>
  <c r="BA11" i="5"/>
  <c r="BB5" i="5"/>
  <c r="BA11" i="7"/>
  <c r="BB5" i="7"/>
  <c r="H33" i="45"/>
  <c r="BB2" i="7"/>
  <c r="G33" i="45"/>
  <c r="H32" i="45"/>
  <c r="W32" i="45"/>
  <c r="K33" i="45"/>
  <c r="V33" i="45"/>
  <c r="O32" i="45"/>
  <c r="W33" i="45" l="1"/>
  <c r="P32" i="45"/>
  <c r="BC2" i="7"/>
  <c r="BB11" i="5"/>
  <c r="BC5" i="5"/>
  <c r="I32" i="45"/>
  <c r="S32" i="45"/>
  <c r="T32" i="45" s="1"/>
  <c r="BB2" i="5"/>
  <c r="BA28" i="5" a="1"/>
  <c r="BA28" i="5" s="1"/>
  <c r="L32" i="45"/>
  <c r="M32" i="45" s="1"/>
  <c r="L33" i="45"/>
  <c r="M33" i="45" s="1"/>
  <c r="I33" i="45"/>
  <c r="P33" i="45"/>
  <c r="BB11" i="7"/>
  <c r="BC5" i="7"/>
  <c r="BD2" i="7" l="1"/>
  <c r="BC2" i="5"/>
  <c r="BB28" i="5" a="1"/>
  <c r="BB28" i="5" s="1"/>
  <c r="BC11" i="5"/>
  <c r="BD5" i="5"/>
  <c r="BC11" i="7"/>
  <c r="BD5" i="7"/>
  <c r="BE2" i="7" l="1"/>
  <c r="BD11" i="5"/>
  <c r="BE5" i="5"/>
  <c r="BC28" i="5" a="1"/>
  <c r="BC28" i="5" s="1"/>
  <c r="BD2" i="5"/>
  <c r="BD11" i="7"/>
  <c r="BE5" i="7"/>
  <c r="BF2" i="7" l="1"/>
  <c r="BE2" i="5"/>
  <c r="BD28" i="5" a="1"/>
  <c r="BD28" i="5" s="1"/>
  <c r="BE11" i="5"/>
  <c r="BF5" i="5"/>
  <c r="BE11" i="7"/>
  <c r="BF5" i="7"/>
  <c r="BG2" i="7" l="1"/>
  <c r="BF11" i="5"/>
  <c r="BG5" i="5"/>
  <c r="BE28" i="5" a="1"/>
  <c r="BE28" i="5" s="1"/>
  <c r="BF2" i="5"/>
  <c r="BF11" i="7"/>
  <c r="BG5" i="7"/>
  <c r="BH2" i="7" l="1"/>
  <c r="BI2" i="7" s="1"/>
  <c r="BJ2" i="7" s="1"/>
  <c r="BG2" i="5"/>
  <c r="BF28" i="5" a="1"/>
  <c r="BF28" i="5" s="1"/>
  <c r="BH5" i="5"/>
  <c r="BG11" i="5"/>
  <c r="BG11" i="7"/>
  <c r="BH5" i="7"/>
  <c r="BH11" i="5" l="1"/>
  <c r="BI5" i="5"/>
  <c r="BH2" i="5"/>
  <c r="BG28" i="5" a="1"/>
  <c r="BG28" i="5" s="1"/>
  <c r="BH11" i="7"/>
  <c r="BI5" i="7"/>
  <c r="BH28" i="5" l="1" a="1"/>
  <c r="BH28" i="5" s="1"/>
  <c r="BI2" i="5"/>
  <c r="BJ5" i="5"/>
  <c r="BI11" i="5"/>
  <c r="BI11" i="7"/>
  <c r="BJ5" i="7"/>
  <c r="BJ11" i="5" l="1"/>
  <c r="BK5" i="5"/>
  <c r="BJ2" i="5"/>
  <c r="BJ28" i="5" s="1" a="1"/>
  <c r="BJ28" i="5" s="1"/>
  <c r="BI28" i="5" a="1"/>
  <c r="BI28" i="5" s="1"/>
  <c r="BJ11" i="7"/>
  <c r="BK5" i="7"/>
  <c r="BK11" i="5" l="1"/>
  <c r="BL5" i="5"/>
  <c r="BK11" i="7"/>
  <c r="BL5" i="7"/>
  <c r="BK10" i="7"/>
  <c r="BK2" i="7" s="1"/>
  <c r="BL2" i="7" s="1"/>
  <c r="BM2" i="7" s="1"/>
  <c r="BN2" i="7" s="1"/>
  <c r="BO2" i="7" s="1"/>
  <c r="BP2" i="7" s="1"/>
  <c r="BQ2" i="7" s="1"/>
  <c r="BR2" i="7" s="1"/>
  <c r="BS2" i="7" s="1"/>
  <c r="BT2" i="7" s="1"/>
  <c r="BU2" i="7" s="1"/>
  <c r="BV2" i="7" s="1"/>
  <c r="R22" i="45" s="1"/>
  <c r="V26" i="45" l="1"/>
  <c r="G26" i="45"/>
  <c r="O26" i="45"/>
  <c r="O27" i="45"/>
  <c r="R27" i="45"/>
  <c r="H27" i="45"/>
  <c r="G27" i="45"/>
  <c r="V27" i="45"/>
  <c r="K27" i="45"/>
  <c r="BL11" i="5"/>
  <c r="BM5" i="5"/>
  <c r="BL2" i="5"/>
  <c r="BK28" i="5" a="1"/>
  <c r="BK28" i="5" s="1"/>
  <c r="BL11" i="7"/>
  <c r="BM5" i="7"/>
  <c r="H18" i="45"/>
  <c r="G19" i="45"/>
  <c r="O15" i="45"/>
  <c r="H22" i="45"/>
  <c r="R15" i="45"/>
  <c r="R16" i="45"/>
  <c r="R24" i="45"/>
  <c r="H24" i="45"/>
  <c r="O18" i="45"/>
  <c r="V19" i="45"/>
  <c r="O20" i="45"/>
  <c r="H20" i="45"/>
  <c r="V17" i="45"/>
  <c r="R20" i="45"/>
  <c r="G18" i="45"/>
  <c r="O17" i="45"/>
  <c r="V15" i="45"/>
  <c r="G16" i="45"/>
  <c r="K19" i="45"/>
  <c r="O24" i="45"/>
  <c r="K16" i="45"/>
  <c r="K22" i="45"/>
  <c r="R18" i="45"/>
  <c r="O19" i="45"/>
  <c r="K24" i="45"/>
  <c r="G22" i="45"/>
  <c r="O22" i="45"/>
  <c r="K17" i="45"/>
  <c r="R19" i="45"/>
  <c r="R23" i="45" s="1"/>
  <c r="K15" i="45"/>
  <c r="K18" i="45"/>
  <c r="O16" i="45"/>
  <c r="V16" i="45"/>
  <c r="H16" i="45"/>
  <c r="V18" i="45"/>
  <c r="H17" i="45"/>
  <c r="G20" i="45"/>
  <c r="H15" i="45"/>
  <c r="V24" i="45"/>
  <c r="G17" i="45"/>
  <c r="K20" i="45"/>
  <c r="R17" i="45"/>
  <c r="V22" i="45"/>
  <c r="V20" i="45"/>
  <c r="G24" i="45"/>
  <c r="H19" i="45"/>
  <c r="G15" i="45"/>
  <c r="K23" i="45" l="1"/>
  <c r="G21" i="45"/>
  <c r="G23" i="45"/>
  <c r="O23" i="45"/>
  <c r="V23" i="45"/>
  <c r="V21" i="45"/>
  <c r="H23" i="45"/>
  <c r="R21" i="45"/>
  <c r="O21" i="45"/>
  <c r="H21" i="45"/>
  <c r="K21" i="45"/>
  <c r="BM2" i="5"/>
  <c r="BL28" i="5" a="1"/>
  <c r="BL28" i="5" s="1"/>
  <c r="BN5" i="5"/>
  <c r="BM11" i="5"/>
  <c r="P24" i="45"/>
  <c r="P19" i="45"/>
  <c r="R25" i="45"/>
  <c r="W22" i="45"/>
  <c r="W16" i="45"/>
  <c r="W20" i="45"/>
  <c r="P27" i="45"/>
  <c r="W15" i="45"/>
  <c r="P20" i="45"/>
  <c r="W24" i="45"/>
  <c r="P18" i="45"/>
  <c r="W18" i="45"/>
  <c r="H25" i="45"/>
  <c r="G25" i="45"/>
  <c r="P15" i="45"/>
  <c r="P22" i="45"/>
  <c r="K25" i="45"/>
  <c r="BM11" i="7"/>
  <c r="BN5" i="7"/>
  <c r="V25" i="45"/>
  <c r="W19" i="45"/>
  <c r="P17" i="45"/>
  <c r="P16" i="45"/>
  <c r="W17" i="45"/>
  <c r="W27" i="45"/>
  <c r="O25" i="45"/>
  <c r="BN11" i="5" l="1"/>
  <c r="BO5" i="5"/>
  <c r="BM28" i="5" a="1"/>
  <c r="BM28" i="5" s="1"/>
  <c r="BN2" i="5"/>
  <c r="BN11" i="7"/>
  <c r="BO5" i="7"/>
  <c r="P25" i="45"/>
  <c r="W25" i="45"/>
  <c r="BO2" i="5" l="1"/>
  <c r="BN28" i="5" a="1"/>
  <c r="BN28" i="5" s="1"/>
  <c r="BO11" i="5"/>
  <c r="BP5" i="5"/>
  <c r="BO11" i="7"/>
  <c r="BP5" i="7"/>
  <c r="BP11" i="5" l="1"/>
  <c r="BQ5" i="5"/>
  <c r="BP2" i="5"/>
  <c r="BO28" i="5" a="1"/>
  <c r="BO28" i="5" s="1"/>
  <c r="BP11" i="7"/>
  <c r="BQ5" i="7"/>
  <c r="BQ11" i="5" l="1"/>
  <c r="BR5" i="5"/>
  <c r="BQ2" i="5"/>
  <c r="BP28" i="5" a="1"/>
  <c r="BP28" i="5" s="1"/>
  <c r="BQ11" i="7"/>
  <c r="BR5" i="7"/>
  <c r="BR2" i="5" l="1"/>
  <c r="BQ28" i="5" a="1"/>
  <c r="BQ28" i="5" s="1"/>
  <c r="BR11" i="5"/>
  <c r="BS5" i="5"/>
  <c r="BR11" i="7"/>
  <c r="BS5" i="7"/>
  <c r="BS2" i="5" l="1"/>
  <c r="BR28" i="5" a="1"/>
  <c r="BR28" i="5" s="1"/>
  <c r="BS11" i="5"/>
  <c r="BT5" i="5"/>
  <c r="BS11" i="7"/>
  <c r="BT5" i="7"/>
  <c r="BT11" i="5" l="1"/>
  <c r="BT2" i="5"/>
  <c r="BS28" i="5" a="1"/>
  <c r="BS28" i="5" s="1"/>
  <c r="BT11" i="7"/>
  <c r="BU5" i="7"/>
  <c r="BU11" i="5" l="1"/>
  <c r="BV5" i="5"/>
  <c r="BU2" i="5"/>
  <c r="BT28" i="5" a="1"/>
  <c r="BT28" i="5" s="1"/>
  <c r="BU11" i="7"/>
  <c r="BV5" i="7"/>
  <c r="BV11" i="7" s="1"/>
  <c r="BW5" i="5" l="1"/>
  <c r="BW10" i="5" s="1"/>
  <c r="BV11" i="5"/>
  <c r="BV2" i="5"/>
  <c r="BV28" i="5" s="1" a="1"/>
  <c r="BV28" i="5" s="1"/>
  <c r="BU28" i="5" a="1"/>
  <c r="BU28" i="5" s="1"/>
  <c r="BX2" i="5" l="1"/>
  <c r="BX28" i="5" s="1" a="1"/>
  <c r="BX28" i="5" s="1"/>
  <c r="BW11" i="5"/>
  <c r="BX5" i="5"/>
  <c r="S16" i="45"/>
  <c r="T16" i="45" s="1"/>
  <c r="L18" i="45"/>
  <c r="M18" i="45" s="1"/>
  <c r="S18" i="45"/>
  <c r="T18" i="45" s="1"/>
  <c r="I16" i="45"/>
  <c r="S15" i="45"/>
  <c r="T15" i="45" s="1"/>
  <c r="I18" i="45"/>
  <c r="L16" i="45"/>
  <c r="M16" i="45" s="1"/>
  <c r="S17" i="45"/>
  <c r="T17" i="45" s="1"/>
  <c r="I17" i="45"/>
  <c r="L15" i="45"/>
  <c r="M15" i="45" s="1"/>
  <c r="I15" i="45"/>
  <c r="L17" i="45"/>
  <c r="M17" i="45" s="1"/>
  <c r="BY2" i="5" l="1"/>
  <c r="BY28" i="5" s="1" a="1"/>
  <c r="BY28" i="5" s="1"/>
  <c r="BY5" i="5"/>
  <c r="BX11" i="5"/>
  <c r="I28" i="45" a="1"/>
  <c r="I28" i="45" s="1"/>
  <c r="S28" i="45" a="1"/>
  <c r="S28" i="45" s="1"/>
  <c r="L28" i="45" a="1"/>
  <c r="L28" i="45" s="1"/>
  <c r="BZ2" i="5" l="1"/>
  <c r="BZ28" i="5" s="1" a="1"/>
  <c r="BZ28" i="5" s="1"/>
  <c r="BZ5" i="5"/>
  <c r="BY11" i="5"/>
  <c r="CA2" i="5" l="1"/>
  <c r="CA28" i="5" s="1" a="1"/>
  <c r="CA28" i="5" s="1"/>
  <c r="CA5" i="5"/>
  <c r="BZ11" i="5"/>
  <c r="CB2" i="5" l="1"/>
  <c r="CB28" i="5" s="1" a="1"/>
  <c r="CB28" i="5" s="1"/>
  <c r="CB5" i="5"/>
  <c r="CA11" i="5"/>
  <c r="CC2" i="5" l="1"/>
  <c r="CC28" i="5" s="1" a="1"/>
  <c r="CC28" i="5" s="1"/>
  <c r="CB11" i="5"/>
  <c r="CC5" i="5"/>
  <c r="CD2" i="5" l="1"/>
  <c r="CD5" i="5"/>
  <c r="CC11" i="5"/>
  <c r="CD28" i="5" l="1" a="1"/>
  <c r="CD28" i="5" s="1"/>
  <c r="CE2" i="5"/>
  <c r="CD11" i="5"/>
  <c r="CE5" i="5"/>
  <c r="CE28" i="5" l="1" a="1"/>
  <c r="CE28" i="5" s="1"/>
  <c r="CF2" i="5"/>
  <c r="CE11" i="5"/>
  <c r="CF5" i="5"/>
  <c r="CF28" i="5" l="1" a="1"/>
  <c r="CF28" i="5" s="1"/>
  <c r="CG2" i="5"/>
  <c r="CF11" i="5"/>
  <c r="CG5" i="5"/>
  <c r="CG28" i="5" l="1" a="1"/>
  <c r="CG28" i="5" s="1"/>
  <c r="S26" i="45"/>
  <c r="S20" i="45"/>
  <c r="S24" i="45"/>
  <c r="T24" i="45" s="1"/>
  <c r="CH2" i="5"/>
  <c r="CG11" i="5"/>
  <c r="CH5" i="5"/>
  <c r="CH11" i="5" s="1"/>
  <c r="R26" i="45"/>
  <c r="K26" i="45"/>
  <c r="H26" i="45"/>
  <c r="H28" i="45" l="1" a="1"/>
  <c r="H28" i="45" s="1"/>
  <c r="G28" i="45" a="1"/>
  <c r="G28" i="45" s="1"/>
  <c r="T20" i="45"/>
  <c r="CH28" i="5" a="1"/>
  <c r="CH28" i="5" s="1"/>
  <c r="S19" i="45"/>
  <c r="I27" i="45"/>
  <c r="I26" i="45"/>
  <c r="L20" i="45"/>
  <c r="I22" i="45"/>
  <c r="I24" i="45"/>
  <c r="S22" i="45"/>
  <c r="I20" i="45"/>
  <c r="L27" i="45"/>
  <c r="M27" i="45" s="1"/>
  <c r="I19" i="45"/>
  <c r="L22" i="45"/>
  <c r="S27" i="45"/>
  <c r="T27" i="45" s="1"/>
  <c r="L24" i="45"/>
  <c r="M24" i="45" s="1"/>
  <c r="L19" i="45"/>
  <c r="M19" i="45" s="1"/>
  <c r="L26" i="45"/>
  <c r="M26" i="45" s="1"/>
  <c r="V28" i="45" a="1"/>
  <c r="V28" i="45" s="1"/>
  <c r="O28" i="45" a="1"/>
  <c r="O28" i="45" s="1"/>
  <c r="R28" i="45" a="1"/>
  <c r="R28" i="45" s="1"/>
  <c r="K28" i="45" a="1"/>
  <c r="K28" i="45" s="1"/>
  <c r="W26" i="45"/>
  <c r="T26" i="45"/>
  <c r="P26" i="45"/>
  <c r="M20" i="45" l="1"/>
  <c r="L21" i="45"/>
  <c r="I23" i="45"/>
  <c r="I25" i="45"/>
  <c r="T22" i="45"/>
  <c r="S25" i="45"/>
  <c r="T25" i="45" s="1"/>
  <c r="S23" i="45"/>
  <c r="L23" i="45"/>
  <c r="M22" i="45"/>
  <c r="L25" i="45"/>
  <c r="M25" i="45" s="1"/>
  <c r="I21" i="45"/>
  <c r="T19" i="45"/>
  <c r="S21" i="45"/>
  <c r="T28" i="45" a="1"/>
  <c r="T28" i="45" s="1"/>
  <c r="W28" i="45" a="1"/>
  <c r="W28" i="45" s="1"/>
  <c r="M28" i="45" a="1"/>
  <c r="M28" i="45" s="1"/>
  <c r="P28" i="45" a="1"/>
  <c r="P28" i="4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tc={699ABDB5-CBB0-DE44-839E-E3070FA617C0}</author>
    <author>tc={8DAAF2C7-8711-C04E-95DE-2772CF94F1CE}</author>
    <author>tc={C297CA9D-D2AC-9C47-98AA-0DB1FFCEAFF6}</author>
    <author>tc={F24883D3-94EE-4F43-AD52-8E49F57E10A5}</author>
    <author>tc={42C2D967-1D1C-4BCA-9294-F5E166443A2E}</author>
  </authors>
  <commentList>
    <comment ref="BP25" authorId="0" shapeId="0" xr:uid="{699ABDB5-CBB0-DE44-839E-E3070FA617C0}">
      <text>
        <t>[Threaded comment]
Your version of Excel allows you to read this threaded comment; however, any edits to it will get removed if the file is opened in a newer version of Excel. Learn more: https://go.microsoft.com/fwlink/?linkid=870924
Comment:
    pro-forma EBITDA</t>
      </text>
    </comment>
    <comment ref="BQ25" authorId="1" shapeId="0" xr:uid="{8DAAF2C7-8711-C04E-95DE-2772CF94F1CE}">
      <text>
        <t>[Threaded comment]
Your version of Excel allows you to read this threaded comment; however, any edits to it will get removed if the file is opened in a newer version of Excel. Learn more: https://go.microsoft.com/fwlink/?linkid=870924
Comment:
    pro-forma EBITDA</t>
      </text>
    </comment>
    <comment ref="BR25" authorId="2" shapeId="0" xr:uid="{C297CA9D-D2AC-9C47-98AA-0DB1FFCEAFF6}">
      <text>
        <t>[Threaded comment]
Your version of Excel allows you to read this threaded comment; however, any edits to it will get removed if the file is opened in a newer version of Excel. Learn more: https://go.microsoft.com/fwlink/?linkid=870924
Comment:
    pro-forma EBITDA</t>
      </text>
    </comment>
    <comment ref="BS25" authorId="3" shapeId="0" xr:uid="{F24883D3-94EE-4F43-AD52-8E49F57E10A5}">
      <text>
        <t>[Threaded comment]
Your version of Excel allows you to read this threaded comment; however, any edits to it will get removed if the file is opened in a newer version of Excel. Learn more: https://go.microsoft.com/fwlink/?linkid=870924
Comment:
    pro-forma EBITDA</t>
      </text>
    </comment>
    <comment ref="BT25" authorId="4" shapeId="0" xr:uid="{42C2D967-1D1C-4BCA-9294-F5E166443A2E}">
      <text>
        <t>[Threaded comment]
Your version of Excel allows you to read this threaded comment; however, any edits to it will get removed if the file is opened in a newer version of Excel. Learn more: https://go.microsoft.com/fwlink/?linkid=870924
Comment:
    Pro-forma EBITDA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tc={D9DEFD6B-CBFD-4030-87DB-E5D6C56491AB}</author>
    <author>tc={74732F45-BCA5-4E55-81C6-171E58A90B3A}</author>
    <author>tc={656ECFEC-202D-4A8D-9E10-C47AE8DBF882}</author>
    <author>tc={CA78118F-698A-480C-92D5-66F3CF7D4454}</author>
    <author>tc={A55FBD4C-6CD0-491B-9579-0FBB3F38CF7C}</author>
    <author>tc={C9455025-0C72-42D8-91B4-114C7B0904B8}</author>
    <author>tc={42EC3CB5-2A3C-4A36-98D6-5DDFBB6F74AB}</author>
    <author>tc={68FA04E9-6DE8-40A4-B003-87E3C372561F}</author>
    <author>tc={74A2E2D7-926A-4F78-A407-3F133329733B}</author>
    <author>tc={CBA9A5D0-E8ED-4187-954F-73E298A62372}</author>
  </authors>
  <commentList>
    <comment ref="BP25" authorId="0" shapeId="0" xr:uid="{D9DEFD6B-CBFD-4030-87DB-E5D6C56491AB}">
      <text>
        <t>[Threaded comment]
Your version of Excel allows you to read this threaded comment; however, any edits to it will get removed if the file is opened in a newer version of Excel. Learn more: https://go.microsoft.com/fwlink/?linkid=870924
Comment:
    pro-forma EBITDA</t>
      </text>
    </comment>
    <comment ref="BQ25" authorId="1" shapeId="0" xr:uid="{74732F45-BCA5-4E55-81C6-171E58A90B3A}">
      <text>
        <t>[Threaded comment]
Your version of Excel allows you to read this threaded comment; however, any edits to it will get removed if the file is opened in a newer version of Excel. Learn more: https://go.microsoft.com/fwlink/?linkid=870924
Comment:
    pro-forma EBITDA</t>
      </text>
    </comment>
    <comment ref="BR25" authorId="2" shapeId="0" xr:uid="{656ECFEC-202D-4A8D-9E10-C47AE8DBF882}">
      <text>
        <t>[Threaded comment]
Your version of Excel allows you to read this threaded comment; however, any edits to it will get removed if the file is opened in a newer version of Excel. Learn more: https://go.microsoft.com/fwlink/?linkid=870924
Comment:
    pro-forma EBITDA</t>
      </text>
    </comment>
    <comment ref="BS25" authorId="3" shapeId="0" xr:uid="{CA78118F-698A-480C-92D5-66F3CF7D4454}">
      <text>
        <t>[Threaded comment]
Your version of Excel allows you to read this threaded comment; however, any edits to it will get removed if the file is opened in a newer version of Excel. Learn more: https://go.microsoft.com/fwlink/?linkid=870924
Comment:
    pro-forma EBITDA</t>
      </text>
    </comment>
    <comment ref="BT25" authorId="4" shapeId="0" xr:uid="{A55FBD4C-6CD0-491B-9579-0FBB3F38CF7C}">
      <text>
        <t>[Threaded comment]
Your version of Excel allows you to read this threaded comment; however, any edits to it will get removed if the file is opened in a newer version of Excel. Learn more: https://go.microsoft.com/fwlink/?linkid=870924
Comment:
    Pro-forma EBITDA</t>
      </text>
    </comment>
    <comment ref="BP26" authorId="5" shapeId="0" xr:uid="{C9455025-0C72-42D8-91B4-114C7B0904B8}">
      <text>
        <t>[Threaded comment]
Your version of Excel allows you to read this threaded comment; however, any edits to it will get removed if the file is opened in a newer version of Excel. Learn more: https://go.microsoft.com/fwlink/?linkid=870924
Comment:
    pro-forma EBITDA</t>
      </text>
    </comment>
    <comment ref="BQ26" authorId="6" shapeId="0" xr:uid="{42EC3CB5-2A3C-4A36-98D6-5DDFBB6F74AB}">
      <text>
        <t>[Threaded comment]
Your version of Excel allows you to read this threaded comment; however, any edits to it will get removed if the file is opened in a newer version of Excel. Learn more: https://go.microsoft.com/fwlink/?linkid=870924
Comment:
    pro-forma EBITDA</t>
      </text>
    </comment>
    <comment ref="BR26" authorId="7" shapeId="0" xr:uid="{68FA04E9-6DE8-40A4-B003-87E3C372561F}">
      <text>
        <t>[Threaded comment]
Your version of Excel allows you to read this threaded comment; however, any edits to it will get removed if the file is opened in a newer version of Excel. Learn more: https://go.microsoft.com/fwlink/?linkid=870924
Comment:
    pro-forma EBITDA</t>
      </text>
    </comment>
    <comment ref="BS26" authorId="8" shapeId="0" xr:uid="{74A2E2D7-926A-4F78-A407-3F133329733B}">
      <text>
        <t>[Threaded comment]
Your version of Excel allows you to read this threaded comment; however, any edits to it will get removed if the file is opened in a newer version of Excel. Learn more: https://go.microsoft.com/fwlink/?linkid=870924
Comment:
    pro-forma EBITDA</t>
      </text>
    </comment>
    <comment ref="BT26" authorId="9" shapeId="0" xr:uid="{CBA9A5D0-E8ED-4187-954F-73E298A62372}">
      <text>
        <t>[Threaded comment]
Your version of Excel allows you to read this threaded comment; however, any edits to it will get removed if the file is opened in a newer version of Excel. Learn more: https://go.microsoft.com/fwlink/?linkid=870924
Comment:
    Pro-forma EBITDA</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7C4FEC-D2EB-4084-8D8B-E70A4382DA48}" keepAlive="1" name="Query - URC FY25A" description="Connection to the 'URC FY25A' query in the workbook." type="5" refreshedVersion="8" background="1" saveData="1">
    <dbPr connection="Provider=Microsoft.Mashup.OleDb.1;Data Source=$Workbook$;Location=&quot;URC FY25A&quot;;Extended Properties=&quot;&quot;" command="SELECT * FROM [URC FY25A]"/>
  </connection>
  <connection id="2" xr16:uid="{BB380DE1-5AE0-4E8C-BF89-64FA9038ED60}" keepAlive="1" name="Query - URC FY25B" description="Connection to the 'URC FY25B' query in the workbook." type="5" refreshedVersion="8" background="1" saveData="1">
    <dbPr connection="Provider=Microsoft.Mashup.OleDb.1;Data Source=$Workbook$;Location=&quot;URC FY25B&quot;;Extended Properties=&quot;&quot;" command="SELECT * FROM [URC FY25B]"/>
  </connection>
  <connection id="3" xr16:uid="{7E98A33C-94C2-4A76-9EBE-67D6AAAFD417}" keepAlive="1" name="Query - URC FY26A" description="Connection to the 'URC FY26A' query in the workbook." type="5" refreshedVersion="8" background="1" saveData="1">
    <dbPr connection="Provider=Microsoft.Mashup.OleDb.1;Data Source=$Workbook$;Location=&quot;URC FY26A&quot;;Extended Properties=&quot;&quot;" command="SELECT * FROM [URC FY26A]"/>
  </connection>
  <connection id="4" xr16:uid="{D3CA80E3-5742-494E-93A6-E4E986E24FFF}" keepAlive="1" name="Query - URC FY26B" description="Connection to the 'URC FY26B' query in the workbook." type="5" refreshedVersion="8" background="1" saveData="1">
    <dbPr connection="Provider=Microsoft.Mashup.OleDb.1;Data Source=$Workbook$;Location=&quot;URC FY26B&quot;;Extended Properties=&quot;&quot;" command="SELECT * FROM [URC FY26B]"/>
  </connection>
  <connection id="5" xr16:uid="{4B19AA77-0D9F-4034-8E0B-9740C5B68BE1}" keepAlive="1" name="Query - Vivantis BS FY25A" description="Connection to the 'Vivantis BS FY25A' query in the workbook." type="5" refreshedVersion="8" background="1" saveData="1">
    <dbPr connection="Provider=Microsoft.Mashup.OleDb.1;Data Source=$Workbook$;Location=&quot;Vivantis BS FY25A&quot;;Extended Properties=&quot;&quot;" command="SELECT * FROM [Vivantis BS FY25A]"/>
  </connection>
  <connection id="6" xr16:uid="{9557F975-B2D7-43C2-9E03-93964CF428D4}" keepAlive="1" name="Query - Vivantis BS FY26A" description="Connection to the 'Vivantis BS FY26A' query in the workbook." type="5" refreshedVersion="8" background="1" saveData="1">
    <dbPr connection="Provider=Microsoft.Mashup.OleDb.1;Data Source=$Workbook$;Location=&quot;Vivantis BS FY26A&quot;;Extended Properties=&quot;&quot;" command="SELECT * FROM [Vivantis BS FY26A]"/>
  </connection>
  <connection id="7" xr16:uid="{154A3EAD-F6A7-4F4B-BFBE-BC3DA64619F1}" keepAlive="1" name="Query - Vivantis BS FY26B" description="Connection to the 'Vivantis BS FY26B' query in the workbook." type="5" refreshedVersion="8" background="1" saveData="1">
    <dbPr connection="Provider=Microsoft.Mashup.OleDb.1;Data Source=$Workbook$;Location=&quot;Vivantis BS FY26B&quot;;Extended Properties=&quot;&quot;" command="SELECT * FROM [Vivantis BS FY26B]"/>
  </connection>
  <connection id="8" xr16:uid="{77FF41DB-2B69-441B-8170-A345A461D221}" keepAlive="1" name="Query - Vivantis BS FY26B(1)" description="Connection to the 'Vivantis BS FY26B' query in the workbook." type="5" refreshedVersion="8" background="1" saveData="1">
    <dbPr connection="Provider=Microsoft.Mashup.OleDb.1;Data Source=$Workbook$;Location=&quot;Vivantis BS FY26B&quot;;Extended Properties=&quot;&quot;" command="SELECT * FROM [Vivantis BS FY26B]"/>
  </connection>
  <connection id="9" xr16:uid="{DE591133-E312-4A73-98C7-10E29E4E84E9}" keepAlive="1" name="Query - Vivantis BS FY27A" description="Connection to the 'Vivantis BS FY27A' query in the workbook." type="5" refreshedVersion="8" background="1" saveData="1">
    <dbPr connection="Provider=Microsoft.Mashup.OleDb.1;Data Source=$Workbook$;Location=&quot;Vivantis BS FY27A&quot;;Extended Properties=&quot;&quot;" command="SELECT * FROM [Vivantis BS FY27A]"/>
  </connection>
  <connection id="10" xr16:uid="{EB5C229D-903C-4655-9742-506539AAAD07}" keepAlive="1" name="Query - Vivantis CF FY25A" description="Connection to the 'Vivantis CF FY25A' query in the workbook." type="5" refreshedVersion="8" background="1" saveData="1">
    <dbPr connection="Provider=Microsoft.Mashup.OleDb.1;Data Source=$Workbook$;Location=&quot;Vivantis CF FY25A&quot;;Extended Properties=&quot;&quot;" command="SELECT * FROM [Vivantis CF FY25A]"/>
  </connection>
  <connection id="11" xr16:uid="{3A136153-1448-400C-B8F7-97C12E5C1678}" keepAlive="1" name="Query - Vivantis CF FY26A" description="Connection to the 'Vivantis CF FY26A' query in the workbook." type="5" refreshedVersion="8" background="1" saveData="1">
    <dbPr connection="Provider=Microsoft.Mashup.OleDb.1;Data Source=$Workbook$;Location=&quot;Vivantis CF FY26A&quot;;Extended Properties=&quot;&quot;" command="SELECT * FROM [Vivantis CF FY26A]"/>
  </connection>
  <connection id="12" xr16:uid="{3FC4A1D5-EB06-4C10-8E37-0BD3C03CF1D1}" keepAlive="1" name="Query - Vivantis CF FY26B" description="Connection to the 'Vivantis CF FY26B' query in the workbook." type="5" refreshedVersion="8" background="1" saveData="1">
    <dbPr connection="Provider=Microsoft.Mashup.OleDb.1;Data Source=$Workbook$;Location=&quot;Vivantis CF FY26B&quot;;Extended Properties=&quot;&quot;" command="SELECT * FROM [Vivantis CF FY26B]"/>
  </connection>
  <connection id="13" xr16:uid="{C25EDD1A-7B25-4B8B-978E-19EB653F12EC}" keepAlive="1" name="Query - Vivantis CF FY27A" description="Connection to the 'Vivantis CF FY27A' query in the workbook." type="5" refreshedVersion="8" background="1" saveData="1">
    <dbPr connection="Provider=Microsoft.Mashup.OleDb.1;Data Source=$Workbook$;Location=&quot;Vivantis CF FY27A&quot;;Extended Properties=&quot;&quot;" command="SELECT * FROM [Vivantis CF FY27A]"/>
  </connection>
  <connection id="14" xr16:uid="{13BA6F85-DC89-4202-BC81-EC5C24596EC2}" keepAlive="1" name="Query - Vivantis NMV Act FY25" description="Connection to the 'Vivantis NMV Act FY25' query in the workbook." type="5" refreshedVersion="8" background="1" saveData="1">
    <dbPr connection="Provider=Microsoft.Mashup.OleDb.1;Data Source=$Workbook$;Location=&quot;Vivantis NMV Act FY25&quot;;Extended Properties=&quot;&quot;" command="SELECT * FROM [Vivantis NMV Act FY25]"/>
  </connection>
  <connection id="15" xr16:uid="{99532872-0356-4AE3-B93E-745748BE63A7}" keepAlive="1" name="Query - Vivantis NMV FY24A" description="Connection to the 'Vivantis NMV FY24A' query in the workbook." type="5" refreshedVersion="8" background="1" saveData="1">
    <dbPr connection="Provider=Microsoft.Mashup.OleDb.1;Data Source=$Workbook$;Location=&quot;Vivantis NMV FY24A&quot;;Extended Properties=&quot;&quot;" command="SELECT * FROM [Vivantis NMV FY24A]"/>
  </connection>
  <connection id="16" xr16:uid="{60E1285F-2354-4FA7-9F90-F490B7A53D17}" keepAlive="1" name="Query - Vivantis NMV FY25A" description="Connection to the 'Vivantis NMV FY25A' query in the workbook." type="5" refreshedVersion="8" background="1" saveData="1">
    <dbPr connection="Provider=Microsoft.Mashup.OleDb.1;Data Source=$Workbook$;Location=&quot;Vivantis NMV FY25A&quot;;Extended Properties=&quot;&quot;" command="SELECT * FROM [Vivantis NMV FY25A]"/>
  </connection>
  <connection id="17" xr16:uid="{3D81A814-0005-4938-901E-34BD00E4AFEA}" keepAlive="1" name="Query - Vivantis NMV FY26A" description="Connection to the 'Vivantis NMV FY26A' query in the workbook." type="5" refreshedVersion="8" background="1" saveData="1">
    <dbPr connection="Provider=Microsoft.Mashup.OleDb.1;Data Source=$Workbook$;Location=&quot;Vivantis NMV FY26A&quot;;Extended Properties=&quot;&quot;" command="SELECT * FROM [Vivantis NMV FY26A]"/>
  </connection>
  <connection id="18" xr16:uid="{CA9E6D89-D489-43F0-B16E-1B2C53FC41F9}" keepAlive="1" name="Query - Vivantis NMV FY26B" description="Connection to the 'Vivantis NMV FY26B' query in the workbook." type="5" refreshedVersion="8" background="1" saveData="1">
    <dbPr connection="Provider=Microsoft.Mashup.OleDb.1;Data Source=$Workbook$;Location=&quot;Vivantis NMV FY26B&quot;;Extended Properties=&quot;&quot;" command="SELECT * FROM [Vivantis NMV FY26B]"/>
  </connection>
  <connection id="19" xr16:uid="{B14D87A5-463A-4657-88F1-699EAB01FE46}" keepAlive="1" name="Query - Vivantis NMV FY27A" description="Connection to the 'Vivantis NMV FY27A' query in the workbook." type="5" refreshedVersion="8" background="1" saveData="1">
    <dbPr connection="Provider=Microsoft.Mashup.OleDb.1;Data Source=$Workbook$;Location=&quot;Vivantis NMV FY27A&quot;;Extended Properties=&quot;&quot;" command="SELECT * FROM [Vivantis NMV FY27A]"/>
  </connection>
  <connection id="20" xr16:uid="{18273EC6-C46E-46C3-B4AB-47EDD176919E}" keepAlive="1" name="Query - Vivantis P&amp;L FY25A" description="Connection to the 'Vivantis P&amp;L FY25A' query in the workbook." type="5" refreshedVersion="8" background="1" saveData="1">
    <dbPr connection="Provider=Microsoft.Mashup.OleDb.1;Data Source=$Workbook$;Location=&quot;Vivantis P&amp;L FY25A&quot;;Extended Properties=&quot;&quot;" command="SELECT * FROM [Vivantis P&amp;L FY25A]"/>
  </connection>
  <connection id="21" xr16:uid="{A849FEFC-75E6-4A16-8EA7-76C1761AF699}" keepAlive="1" name="Query - Vivantis P&amp;L FY26B" description="Connection to the 'Vivantis P&amp;L FY26B' query in the workbook." type="5" refreshedVersion="8" background="1" saveData="1">
    <dbPr connection="Provider=Microsoft.Mashup.OleDb.1;Data Source=$Workbook$;Location=&quot;Vivantis P&amp;L FY26B&quot;;Extended Properties=&quot;&quot;" command="SELECT * FROM [Vivantis P&amp;L FY26B]"/>
  </connection>
  <connection id="22" xr16:uid="{1BA9EFB3-16AC-4D3C-8B92-7D660717FE53}" keepAlive="1" name="Query - Vivantis_P&amp;L FY26A" description="Connection to the 'Vivantis_P&amp;L FY26A' query in the workbook." type="5" refreshedVersion="8" background="1" saveData="1">
    <dbPr connection="Provider=Microsoft.Mashup.OleDb.1;Data Source=$Workbook$;Location=&quot;Vivantis_P&amp;L FY26A&quot;;Extended Properties=&quot;&quot;" command="SELECT * FROM [Vivantis_P&amp;L FY26A]"/>
  </connection>
  <connection id="23" xr16:uid="{A78F1E3F-2E5F-4BFA-ADA0-EEBED24CB97E}" keepAlive="1" name="Query - Vivantis_P&amp;L FY27A" description="Connection to the 'Vivantis_P&amp;L FY27A' query in the workbook." type="5" refreshedVersion="8" background="1" saveData="1">
    <dbPr connection="Provider=Microsoft.Mashup.OleDb.1;Data Source=$Workbook$;Location=&quot;Vivantis_P&amp;L FY27A&quot;;Extended Properties=&quot;&quot;" command="SELECT * FROM [Vivantis_P&amp;L FY27A]"/>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<sst xmlns="http://schemas.openxmlformats.org/spreadsheetml/2006/main" count="178" uniqueCount="91">
  <si>
    <t>Company:</t>
  </si>
  <si>
    <t>Euromedia Group</t>
  </si>
  <si>
    <t>Ownership:</t>
  </si>
  <si>
    <t>Year:</t>
  </si>
  <si>
    <t>FY:</t>
  </si>
  <si>
    <t>Month:</t>
  </si>
  <si>
    <t>July</t>
  </si>
  <si>
    <t>FY month numnber</t>
  </si>
  <si>
    <t>Financial Indicators</t>
  </si>
  <si>
    <t>Totals</t>
  </si>
  <si>
    <t>Year to date development</t>
  </si>
  <si>
    <t>Month to date development</t>
  </si>
  <si>
    <t>Actual</t>
  </si>
  <si>
    <t>Budget</t>
  </si>
  <si>
    <t>Act vs.</t>
  </si>
  <si>
    <t>Act LY</t>
  </si>
  <si>
    <r>
      <t xml:space="preserve">CZK mil. </t>
    </r>
    <r>
      <rPr>
        <sz val="9"/>
        <rFont val="Arial"/>
        <family val="2"/>
        <charset val="238"/>
      </rPr>
      <t>(unless otherwise stated)</t>
    </r>
  </si>
  <si>
    <t>Bud</t>
  </si>
  <si>
    <t>LY</t>
  </si>
  <si>
    <t>Retail</t>
  </si>
  <si>
    <t>Distribution</t>
  </si>
  <si>
    <t>Publishing</t>
  </si>
  <si>
    <t>Elimination</t>
  </si>
  <si>
    <t>Consolidated Revenues</t>
  </si>
  <si>
    <t>Gross Margin</t>
  </si>
  <si>
    <t>% of Revenues</t>
  </si>
  <si>
    <t>Adjusted EBITDA</t>
  </si>
  <si>
    <t>CAPEX</t>
  </si>
  <si>
    <t>OpCF (EBITDA less Capex)</t>
  </si>
  <si>
    <t>Net Debt / LTM EBITDA</t>
  </si>
  <si>
    <t>KPIs</t>
  </si>
  <si>
    <t>Share of online (Retail)</t>
  </si>
  <si>
    <t># of published titles</t>
  </si>
  <si>
    <t>FY starts in:</t>
  </si>
  <si>
    <t>January</t>
  </si>
  <si>
    <t>Month</t>
  </si>
  <si>
    <t>CY month</t>
  </si>
  <si>
    <t>FY month</t>
  </si>
  <si>
    <t>February</t>
  </si>
  <si>
    <t>March</t>
  </si>
  <si>
    <t>April</t>
  </si>
  <si>
    <t>May</t>
  </si>
  <si>
    <t>June</t>
  </si>
  <si>
    <t>August</t>
  </si>
  <si>
    <t>September</t>
  </si>
  <si>
    <t>October</t>
  </si>
  <si>
    <t>November</t>
  </si>
  <si>
    <t>December</t>
  </si>
  <si>
    <t>CONSOLIDATED REVENUES</t>
  </si>
  <si>
    <t>FY month number</t>
  </si>
  <si>
    <t>Cash</t>
  </si>
  <si>
    <t>CZK/EUR</t>
  </si>
  <si>
    <t>Fiscal/Financial year</t>
  </si>
  <si>
    <t>Calendar year</t>
  </si>
  <si>
    <t>Calendar month number</t>
  </si>
  <si>
    <t>ACTUALS</t>
  </si>
  <si>
    <t>CZK million (unless otherwise stated)</t>
  </si>
  <si>
    <t>REP. EBITDA (Excl. Licence Depreciation)</t>
  </si>
  <si>
    <t>NET DEBT</t>
  </si>
  <si>
    <t>Debt</t>
  </si>
  <si>
    <t>Adjusted EBITDA ACTUAL</t>
  </si>
  <si>
    <t>Net debt</t>
  </si>
  <si>
    <t>Luxor - Bank loans and borrowings</t>
  </si>
  <si>
    <t>Luxor - Short-term Bank loans and borrowings</t>
  </si>
  <si>
    <t>EMG - Bank loans and borrowings</t>
  </si>
  <si>
    <t>EMG - Short-term Bank loans and borrowings RCF</t>
  </si>
  <si>
    <t>EMG - Short-term part of Long term Bank loans</t>
  </si>
  <si>
    <t>Other debt 1</t>
  </si>
  <si>
    <t>Other debt 3</t>
  </si>
  <si>
    <t>Cash - EMG</t>
  </si>
  <si>
    <t>Cash - Luxor</t>
  </si>
  <si>
    <t>TOTAL</t>
  </si>
  <si>
    <t>in thousands EUR</t>
  </si>
  <si>
    <t>EMG GM</t>
  </si>
  <si>
    <t>NLX GM</t>
  </si>
  <si>
    <t>EMG EBITDA</t>
  </si>
  <si>
    <t>NLX EBITDA</t>
  </si>
  <si>
    <t>B2C revenues total (NLX, KK, BT)</t>
  </si>
  <si>
    <t>On-line revenues (KK on-line, BT, NLX on-line včetně BOPS)</t>
  </si>
  <si>
    <t>Share of online</t>
  </si>
  <si>
    <t>Like4like reve growth</t>
  </si>
  <si>
    <t>Pocet uvedenych titulu</t>
  </si>
  <si>
    <t>One-off OPEX</t>
  </si>
  <si>
    <t>BUDGET</t>
  </si>
  <si>
    <t>EBITDA for leverage</t>
  </si>
  <si>
    <t>Adjusted EBITDA BUDGET</t>
  </si>
  <si>
    <t>Other debt 2</t>
  </si>
  <si>
    <t>Revenue per m2 (nebo like for like growth)</t>
  </si>
  <si>
    <t>Calendar year month number</t>
  </si>
  <si>
    <t>Pro-forma EBITDA (EMG + PEMIC)</t>
  </si>
  <si>
    <t>允䅁䉁䄸䅁䍁䅁䅁䅁摁䅁䅁杋䅁䍁䅧兓畂䡁䅙兙獂䝁䅫䅚杁䕁䅫䅚求䝁䄴䅤灂䝁䅙兡求䡁䅉克䅁䉁䄴䅁佁䅁䅁睉䙂䙁䅉杕偂䙁䅉䅁扁䅁䅁杌䅁䍁䅧兓畂䡁䅙兙獂䝁䅫䅚杁䕁䅙睢祂䝁䄰兤獂䝁䅅䅉佂䝁䅅兢求䍁䅫䅁坁䅁䅁杋䅁䍁䅍兓佂䙁䅙兑䵂䕁䅫䅒杁䕁䄰兒啂䙁䅉兓䑂䍁䅁杔䉂䕁䄰兒䅁䉁䅅䅁敁䅁䅁兓剂䙁䄸䅉䑂䕁䅷睔呂䕁䅕䅕卂䕁䅫睑䙂䅁䅁兆䅁䉁䅑䅁硁䑁䅑兌䝂䝁䅕杙瑁䑁䅉杍䅁䉁䅑䅁允䅁䅁䅊兂䕁䅷杔䙂䙁䅕杕䅁䉁䅉䅁坁䅁䅁免ぁ䍁䄴䅍祁䍁䄴杍睁䑁䅉杍䅁䅁䄸䅁䥁䅁䅁兒噂䙁䅉䅁䕁䅁䅁䅅䅁䕁䅙兕硁䑁䅉䅍祁䑁䅉䅁䱁䅁䅁䅅䅁䕁䅙兕硁䑁䅉䅍祁䑁䅍䅁慁䅁䅁䅅䅁䕁䅙兕祁䑁䅉䅍祁䑁䅉䅁乁䅁䅁䅅䅁䕁䅙兕祁䑁䅉䅍祁䑁䅍䅁捁䅁䅁䅅䅁䕁䅙兕穁䑁䅉䅍祁䑁䅉䅁䝁䅁䅁䅅䅁䕁䅙兕ぁ䑁䅉䅍祁䑁䅉䅁奁䅁䅁杄䅁䕁䅙兗祁䑁䅁杍祁䅁䅁睁䅁䅁䄴䅁䝂䙁䅫杍睁䑁䅉睍䅁䉁䅫䅁歁䅁䅁兓剂䙁䄸䅉䵂䕁䅅睕啂䙁䅍兑䵂䕁䅕䅕卂䕁䅫睑䙂䅁䅁睆䅁䉁䅷䅁䩂䙁䅅睘䙂䕁䅉兓啂䕁䅑兑時䕁䅕睕啂䅁䅁元䅁䉁䅯䅁䩂䙁䅅睘䑂䕁䅅䅕䙂䙁䅧睘䙂䙁䅍䅖䅁䅁䅉䅁捁䅁䅁兓剂䙁䄸睑䵂䕁䄸睕䙂䙁䅁杕䩂䕁䅍兒䅁䅁䄴䅁潁䅁䅁兓剂䙁䄸睒卂䕁䄸睕呂䙁䄸兔䉂䙁䅉睒䩂䕁䄴睘䙂䙁䅍䅖䅁䅁䅣䅁楁䅁䅁兓剂䙁䄸䅔䉂䙁䅍䅖呂䕁䅅䅔䙂䙁䅁杕䩂䕁䅍兒䅁䅁䅅䅁慁䅁䅁兓剂䙁䄸兔䉂䙁䅉睓䙂䙁䅑睑䉂䙁䅁䅁䭁䅁䅁䅉䅁䕁䅫兕時䕁䄴兒啂䙁䄸䅒䙂䕁䅉䅖時䕁䅕睕啂䅁䅁䅄䅁䉁䄴䅁䩂䙁䅅睘卂䕁䅕杖䙂䕁䄴兖䙂䙁䄸兒呂䙁䅑䅁䙁䅁䅁杄䅁䕁䅫兕時䙁䅑兒坂䅁䅁䅅䅁䅁䅙䅁佂䕁䅅䅁䥁䅁䅁杉䅁䙁䅍䅕時䕁䅷兑呂䙁䅑睕䉂䕁䅷兒兂䙁䅉兓䑂䕁䅕䅁呁䅁䅁䅅䅁䙁䅣睕䙂䑁䅯兑䵂䕁䅕䅁䅁䅁䅁䅁䅁䅁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</si>
</sst>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2">
    <numFmt numFmtId="41" formatCode="_(* #,##0_);_(* \(#,##0\);_(* &quot;-&quot;_);_(@_)"/>
    <numFmt numFmtId="43" formatCode="_(* #,##0.00_);_(* \(#,##0.00\);_(* &quot;-&quot;??_);_(@_)"/>
    <numFmt numFmtId="164" formatCode="#,##0_%_);\(#,##0\)_%;&quot;-&quot;_%_);@_%_)"/>
    <numFmt numFmtId="165" formatCode="#,##0.00%_);\(#,##0.00%\);&quot;-&quot;_%_);@_%_)"/>
    <numFmt numFmtId="166" formatCode="#,##0.0%_);\(#,##0.0%\);&quot;-&quot;_%_);@_%_)"/>
    <numFmt numFmtId="167" formatCode="#,##0.00\x_)_);\(#,##0.00\x\)_);&quot;-&quot;_%_);@_%_)"/>
    <numFmt numFmtId="168" formatCode="dd\-mmm\-yyyy"/>
    <numFmt numFmtId="169" formatCode="###0_%_);\(#,##0\)_%;&quot;-&quot;_%_);@_%_)"/>
    <numFmt numFmtId="170" formatCode="#,##0.0\x_)_);\(#,##0.0\x\)_);&quot;-&quot;_%_);@_%_)"/>
    <numFmt numFmtId="171" formatCode="#,##0.0\x"/>
    <numFmt numFmtId="172" formatCode="0.0%"/>
    <numFmt numFmtId="173" formatCode="#,##0.00_%_);\(#,##0.00\)_%;&quot;-&quot;_%_);@_%_)"/>
    <numFmt numFmtId="175" formatCode="0.0"/>
    <numFmt numFmtId="176" formatCode="#,##0.0"/>
    <numFmt numFmtId="177" formatCode="&quot;FY&quot;0"/>
    <numFmt numFmtId="178" formatCode="#,##0_);[Red]\(#,##0\);\-_)"/>
    <numFmt numFmtId="179" formatCode="General\ &quot;.&quot;"/>
    <numFmt numFmtId="180" formatCode="#,##0.0_);\(#,##0.0\)"/>
    <numFmt numFmtId="181" formatCode="_-* #,##0.00\ _€_-;\-* #,##0.00\ _€_-;_-* &quot;-&quot;??\ _€_-;_-@_-"/>
    <numFmt numFmtId="182" formatCode="_-* #,##0.00\ &quot;€&quot;_-;\-* #,##0.00\ &quot;€&quot;_-;_-* &quot;-&quot;??\ &quot;€&quot;_-;_-@_-"/>
    <numFmt numFmtId="183" formatCode="_-* #,##0.00\ _K_č_-;\-* #,##0.00\ _K_č_-;_-* &quot;-&quot;??\ _K_č_-;_-@_-"/>
    <numFmt numFmtId="184" formatCode="#,##0.0000"/>
    <numFmt numFmtId="185" formatCode="#,##0.0\x;\(#,##0.0\x\)"/>
    <numFmt numFmtId="186" formatCode="_-* #,##0.00\ _F_t_-;\-* #,##0.00\ _F_t_-;_-* &quot;-&quot;??\ _F_t_-;_-@_-"/>
    <numFmt numFmtId="187" formatCode="_-* #,##0.00\ _H_U_F_-;\-* #,##0.00\ _H_U_F_-;_-* &quot;-&quot;??\ _H_U_F_-;_-@_-"/>
    <numFmt numFmtId="188" formatCode="0.000"/>
    <numFmt numFmtId="189" formatCode="_(* #,##0.0_);_(* \(#,##0.0\);_(* &quot;-&quot;_);_(@_)"/>
    <numFmt numFmtId="190" formatCode="_(* #,##0.000_);_(* \(#,##0.000\);_(* &quot;-&quot;_);_(@_)"/>
    <numFmt numFmtId="191" formatCode="#,##0.0%;\(#,##0.0%\);&quot;-&quot;_%_);@_%_)"/>
    <numFmt numFmtId="192" formatCode="0.0\ &quot;pp&quot;;\(0.0\)&quot; pp&quot;;\-"/>
    <numFmt numFmtId="193" formatCode="_(* #,##0_);_(* \(#,##0\);_(* &quot;-&quot;??_);_(@_)"/>
    <numFmt numFmtId="195" formatCode="#,##0.0;\-#,##0.0"/>
  </numFmts>
  <fonts count="112" x14ac:knownFonts="1">
    <font>
      <sz val="11"/>
      <color theme="1"/>
      <name val="Calibri"/>
      <family val="2"/>
      <scheme val="minor"/>
    </font>
    <font>
      <sz val="12"/>
      <color theme="1"/>
      <name val="Calibri"/>
      <family val="2"/>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scheme val="minor"/>
    </font>
    <font>
      <sz val="10"/>
      <name val="Courier"/>
      <family val="3"/>
    </font>
    <font>
      <b/>
      <sz val="8"/>
      <color theme="1"/>
      <name val="Arial"/>
      <family val="2"/>
      <charset val="238"/>
    </font>
    <font>
      <b/>
      <sz val="8"/>
      <name val="Arial"/>
      <family val="2"/>
      <charset val="238"/>
    </font>
    <font>
      <b/>
      <sz val="9"/>
      <color theme="1"/>
      <name val="Arial"/>
      <family val="2"/>
    </font>
    <font>
      <b/>
      <sz val="9"/>
      <name val="Arial"/>
      <family val="2"/>
      <charset val="238"/>
    </font>
    <font>
      <sz val="9"/>
      <name val="Arial"/>
      <family val="2"/>
      <charset val="238"/>
    </font>
    <font>
      <b/>
      <sz val="9"/>
      <name val="Arial"/>
      <family val="2"/>
    </font>
    <font>
      <sz val="9"/>
      <color theme="1"/>
      <name val="Arial"/>
      <family val="2"/>
    </font>
    <font>
      <sz val="9"/>
      <name val="Arial"/>
      <family val="2"/>
    </font>
    <font>
      <sz val="9"/>
      <name val="Calibri"/>
      <family val="2"/>
      <scheme val="minor"/>
    </font>
    <font>
      <b/>
      <sz val="9"/>
      <color theme="0"/>
      <name val="Arial"/>
      <family val="2"/>
    </font>
    <font>
      <sz val="9"/>
      <color theme="1"/>
      <name val="Calibri"/>
      <family val="2"/>
      <scheme val="minor"/>
    </font>
    <font>
      <b/>
      <sz val="12"/>
      <color theme="1"/>
      <name val="Arial"/>
      <family val="2"/>
    </font>
    <font>
      <b/>
      <sz val="12"/>
      <color rgb="FF00B0F0"/>
      <name val="Arial"/>
      <family val="2"/>
    </font>
    <font>
      <sz val="12"/>
      <color theme="1"/>
      <name val="Calibri"/>
      <family val="2"/>
      <scheme val="minor"/>
    </font>
    <font>
      <b/>
      <sz val="12"/>
      <color theme="1"/>
      <name val="Calibri"/>
      <family val="2"/>
      <charset val="238"/>
      <scheme val="minor"/>
    </font>
    <font>
      <sz val="8"/>
      <name val="Calibri"/>
      <family val="2"/>
      <scheme val="minor"/>
    </font>
    <font>
      <sz val="11"/>
      <color theme="1"/>
      <name val="Calibri"/>
      <family val="2"/>
      <charset val="238"/>
      <scheme val="minor"/>
    </font>
    <font>
      <sz val="12"/>
      <color rgb="FF0070C0"/>
      <name val="Calibri"/>
      <family val="2"/>
      <scheme val="minor"/>
    </font>
    <font>
      <sz val="10"/>
      <color theme="1"/>
      <name val="Arial"/>
      <family val="2"/>
    </font>
    <font>
      <b/>
      <sz val="11"/>
      <color theme="1"/>
      <name val="Arial"/>
      <family val="2"/>
    </font>
    <font>
      <b/>
      <sz val="11"/>
      <color theme="0"/>
      <name val="Arial"/>
      <family val="2"/>
    </font>
    <font>
      <sz val="11"/>
      <color theme="1"/>
      <name val="Arial"/>
      <family val="2"/>
    </font>
    <font>
      <sz val="10"/>
      <color theme="1"/>
      <name val="Calibri"/>
      <family val="2"/>
      <scheme val="minor"/>
    </font>
    <font>
      <i/>
      <sz val="8"/>
      <color theme="0" tint="-0.249977111117893"/>
      <name val="Arial"/>
      <family val="2"/>
      <charset val="238"/>
    </font>
    <font>
      <b/>
      <sz val="8"/>
      <color theme="0" tint="-0.249977111117893"/>
      <name val="Arial"/>
      <family val="2"/>
      <charset val="238"/>
    </font>
    <font>
      <sz val="10"/>
      <color theme="1"/>
      <name val="Arial"/>
      <family val="2"/>
      <charset val="238"/>
    </font>
    <font>
      <sz val="10"/>
      <name val="Arial"/>
      <family val="2"/>
      <charset val="238"/>
    </font>
    <font>
      <i/>
      <sz val="10"/>
      <color theme="0" tint="-0.249977111117893"/>
      <name val="Arial"/>
      <family val="2"/>
    </font>
    <font>
      <b/>
      <sz val="10"/>
      <color theme="0"/>
      <name val="Arial"/>
      <family val="2"/>
    </font>
    <font>
      <b/>
      <sz val="10"/>
      <name val="Arial"/>
      <family val="2"/>
    </font>
    <font>
      <sz val="10"/>
      <color rgb="FF0070C0"/>
      <name val="Arial"/>
      <family val="2"/>
    </font>
    <font>
      <b/>
      <sz val="10"/>
      <color theme="1"/>
      <name val="Arial"/>
      <family val="2"/>
    </font>
    <font>
      <b/>
      <sz val="10"/>
      <color rgb="FF0070C0"/>
      <name val="Arial"/>
      <family val="2"/>
    </font>
    <font>
      <i/>
      <sz val="10"/>
      <color theme="1"/>
      <name val="Arial"/>
      <family val="2"/>
    </font>
    <font>
      <u/>
      <sz val="11"/>
      <color theme="10"/>
      <name val="Calibri"/>
      <family val="2"/>
      <charset val="238"/>
      <scheme val="minor"/>
    </font>
    <font>
      <b/>
      <i/>
      <sz val="10"/>
      <color theme="1"/>
      <name val="Arial"/>
      <family val="2"/>
      <charset val="238"/>
    </font>
    <font>
      <i/>
      <sz val="10"/>
      <color theme="1"/>
      <name val="Arial"/>
      <family val="2"/>
      <charset val="238"/>
    </font>
    <font>
      <sz val="10"/>
      <color rgb="FF00B0F0"/>
      <name val="Arial"/>
      <family val="2"/>
    </font>
    <font>
      <i/>
      <sz val="6"/>
      <color theme="0" tint="-0.249977111117893"/>
      <name val="Arial"/>
      <family val="2"/>
      <charset val="238"/>
    </font>
    <font>
      <b/>
      <sz val="12"/>
      <color rgb="FF00B0F0"/>
      <name val="Arial"/>
      <family val="2"/>
      <charset val="238"/>
    </font>
    <font>
      <b/>
      <i/>
      <sz val="9"/>
      <color rgb="FFFF0000"/>
      <name val="Arial"/>
      <family val="2"/>
      <charset val="238"/>
    </font>
    <font>
      <i/>
      <sz val="8"/>
      <color rgb="FF00B0F0"/>
      <name val="Arial"/>
      <family val="2"/>
      <charset val="238"/>
    </font>
    <font>
      <sz val="10"/>
      <name val="Arial"/>
      <family val="2"/>
    </font>
    <font>
      <sz val="9"/>
      <color rgb="FF000000"/>
      <name val="Arial"/>
      <family val="2"/>
      <charset val="238"/>
    </font>
    <font>
      <sz val="10"/>
      <color rgb="FF000000"/>
      <name val="Arial"/>
      <family val="2"/>
      <charset val="238"/>
    </font>
    <font>
      <sz val="9"/>
      <color theme="4"/>
      <name val="Arial"/>
      <family val="2"/>
    </font>
    <font>
      <sz val="10"/>
      <color rgb="FF000000"/>
      <name val="Arial"/>
      <family val="2"/>
    </font>
    <font>
      <b/>
      <sz val="12"/>
      <color indexed="8"/>
      <name val="Arial"/>
      <family val="2"/>
    </font>
    <font>
      <b/>
      <sz val="9"/>
      <color rgb="FF000000"/>
      <name val="Arial"/>
      <family val="2"/>
    </font>
    <font>
      <sz val="9"/>
      <color rgb="FF000000"/>
      <name val="Arial"/>
      <family val="2"/>
    </font>
    <font>
      <sz val="12"/>
      <color theme="1"/>
      <name val="Arial"/>
      <family val="2"/>
    </font>
    <font>
      <b/>
      <sz val="15"/>
      <color theme="3"/>
      <name val="Calibri"/>
      <family val="2"/>
      <charset val="238"/>
      <scheme val="minor"/>
    </font>
    <font>
      <b/>
      <sz val="13"/>
      <color theme="3"/>
      <name val="Calibri"/>
      <family val="2"/>
      <charset val="238"/>
      <scheme val="minor"/>
    </font>
    <font>
      <b/>
      <sz val="11"/>
      <color theme="3"/>
      <name val="Calibri"/>
      <family val="2"/>
      <charset val="238"/>
      <scheme val="minor"/>
    </font>
    <font>
      <sz val="11"/>
      <color rgb="FF006100"/>
      <name val="Calibri"/>
      <family val="2"/>
      <charset val="238"/>
      <scheme val="minor"/>
    </font>
    <font>
      <sz val="11"/>
      <color rgb="FF9C0006"/>
      <name val="Calibri"/>
      <family val="2"/>
      <charset val="238"/>
      <scheme val="minor"/>
    </font>
    <font>
      <sz val="11"/>
      <color rgb="FF3F3F76"/>
      <name val="Calibri"/>
      <family val="2"/>
      <charset val="238"/>
      <scheme val="minor"/>
    </font>
    <font>
      <b/>
      <sz val="11"/>
      <color rgb="FF3F3F3F"/>
      <name val="Calibri"/>
      <family val="2"/>
      <charset val="238"/>
      <scheme val="minor"/>
    </font>
    <font>
      <b/>
      <sz val="11"/>
      <color rgb="FFFA7D00"/>
      <name val="Calibri"/>
      <family val="2"/>
      <charset val="238"/>
      <scheme val="minor"/>
    </font>
    <font>
      <sz val="11"/>
      <color rgb="FFFA7D00"/>
      <name val="Calibri"/>
      <family val="2"/>
      <charset val="238"/>
      <scheme val="minor"/>
    </font>
    <font>
      <sz val="11"/>
      <color rgb="FFFF0000"/>
      <name val="Calibri"/>
      <family val="2"/>
      <charset val="238"/>
      <scheme val="minor"/>
    </font>
    <font>
      <i/>
      <sz val="11"/>
      <color rgb="FF7F7F7F"/>
      <name val="Calibri"/>
      <family val="2"/>
      <charset val="238"/>
      <scheme val="minor"/>
    </font>
    <font>
      <b/>
      <sz val="11"/>
      <color theme="1"/>
      <name val="Calibri"/>
      <family val="2"/>
      <charset val="238"/>
      <scheme val="minor"/>
    </font>
    <font>
      <sz val="11"/>
      <color theme="0"/>
      <name val="Calibri"/>
      <family val="2"/>
      <charset val="238"/>
      <scheme val="minor"/>
    </font>
    <font>
      <i/>
      <sz val="9"/>
      <name val="Arial"/>
      <family val="2"/>
    </font>
    <font>
      <sz val="12"/>
      <name val="Times New Roman"/>
      <family val="1"/>
    </font>
    <font>
      <sz val="9"/>
      <color indexed="0"/>
      <name val="Arial"/>
      <family val="2"/>
      <charset val="238"/>
    </font>
    <font>
      <b/>
      <sz val="18"/>
      <color theme="3"/>
      <name val="Calibri Light"/>
      <family val="2"/>
      <charset val="238"/>
      <scheme val="major"/>
    </font>
    <font>
      <sz val="11"/>
      <color rgb="FF9C6500"/>
      <name val="Calibri"/>
      <family val="2"/>
      <charset val="238"/>
      <scheme val="minor"/>
    </font>
    <font>
      <sz val="10"/>
      <color theme="1"/>
      <name val="Calibri"/>
      <family val="2"/>
      <charset val="238"/>
      <scheme val="minor"/>
    </font>
    <font>
      <b/>
      <sz val="6"/>
      <color rgb="FFFFFFFF"/>
      <name val="Arial"/>
      <family val="2"/>
      <charset val="238"/>
    </font>
    <font>
      <b/>
      <sz val="16"/>
      <color rgb="FF000000"/>
      <name val="Tahoma"/>
      <family val="2"/>
      <charset val="238"/>
    </font>
    <font>
      <b/>
      <sz val="7"/>
      <color rgb="FF000000"/>
      <name val="Tahoma"/>
      <family val="2"/>
      <charset val="238"/>
    </font>
    <font>
      <sz val="8"/>
      <color rgb="FF000000"/>
      <name val="Tahoma"/>
      <family val="2"/>
      <charset val="238"/>
    </font>
    <font>
      <sz val="7"/>
      <color rgb="FF000000"/>
      <name val="Tahoma"/>
      <family val="2"/>
      <charset val="238"/>
    </font>
    <font>
      <sz val="14"/>
      <color rgb="FF000000"/>
      <name val="Tahoma"/>
      <family val="2"/>
      <charset val="238"/>
    </font>
    <font>
      <sz val="10"/>
      <color theme="1"/>
      <name val="Tahoma"/>
      <family val="2"/>
    </font>
    <font>
      <sz val="12"/>
      <color theme="1"/>
      <name val="Arial"/>
      <family val="2"/>
      <charset val="238"/>
    </font>
    <font>
      <sz val="11"/>
      <name val="Calibri"/>
      <family val="2"/>
      <charset val="238"/>
    </font>
    <font>
      <sz val="12"/>
      <color theme="1"/>
      <name val="Arial"/>
      <family val="2"/>
    </font>
    <font>
      <sz val="10"/>
      <color theme="1"/>
      <name val="Calibri"/>
      <family val="2"/>
      <scheme val="minor"/>
    </font>
    <font>
      <sz val="11"/>
      <name val="Calibri"/>
      <family val="2"/>
    </font>
    <font>
      <i/>
      <sz val="8"/>
      <name val="Arial"/>
      <family val="2"/>
      <charset val="238"/>
    </font>
    <font>
      <sz val="12"/>
      <color rgb="FF1F1F1F"/>
      <name val="Arial"/>
      <family val="2"/>
    </font>
    <font>
      <sz val="10"/>
      <color theme="4"/>
      <name val="Arial"/>
      <family val="2"/>
    </font>
    <font>
      <b/>
      <i/>
      <sz val="10"/>
      <color theme="1"/>
      <name val="Arial"/>
      <family val="2"/>
    </font>
    <font>
      <sz val="9"/>
      <color theme="1" tint="0.499984740745262"/>
      <name val="Arial"/>
      <family val="2"/>
      <charset val="238"/>
    </font>
    <font>
      <b/>
      <sz val="11"/>
      <color theme="1"/>
      <name val="Calibri"/>
      <family val="2"/>
      <scheme val="minor"/>
    </font>
    <font>
      <i/>
      <sz val="11"/>
      <color theme="1"/>
      <name val="Calibri"/>
      <family val="2"/>
      <scheme val="minor"/>
    </font>
    <font>
      <b/>
      <sz val="15"/>
      <color theme="3"/>
      <name val="Calibri"/>
      <family val="2"/>
      <scheme val="minor"/>
    </font>
    <font>
      <sz val="11"/>
      <color rgb="FF3F3F76"/>
      <name val="Calibri"/>
      <family val="2"/>
      <scheme val="minor"/>
    </font>
    <font>
      <b/>
      <sz val="11"/>
      <color theme="0"/>
      <name val="Calibri"/>
      <family val="2"/>
      <scheme val="minor"/>
    </font>
    <font>
      <sz val="11"/>
      <color theme="3" tint="0.249977111117893"/>
      <name val="Calibri"/>
      <family val="2"/>
      <scheme val="minor"/>
    </font>
    <font>
      <sz val="11"/>
      <color theme="9"/>
      <name val="Calibri"/>
      <family val="2"/>
      <scheme val="minor"/>
    </font>
    <font>
      <i/>
      <sz val="11"/>
      <color rgb="FF3F3F76"/>
      <name val="Calibri"/>
      <family val="2"/>
      <scheme val="minor"/>
    </font>
    <font>
      <b/>
      <i/>
      <sz val="11"/>
      <color theme="1"/>
      <name val="Calibri"/>
      <family val="2"/>
      <scheme val="minor"/>
    </font>
    <font>
      <b/>
      <sz val="9"/>
      <color rgb="FF14141B"/>
      <name val="Arial"/>
      <family val="2"/>
    </font>
    <font>
      <b/>
      <sz val="10"/>
      <color rgb="FF000000"/>
      <name val="Arial"/>
      <family val="2"/>
    </font>
    <font>
      <sz val="9"/>
      <color indexed="81"/>
      <name val="Tahoma"/>
    </font>
  </fonts>
  <fills count="50">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1"/>
        <bgColor indexed="64"/>
      </patternFill>
    </fill>
    <fill>
      <patternFill patternType="solid">
        <fgColor theme="2" tint="-0.249977111117893"/>
        <bgColor indexed="64"/>
      </patternFill>
    </fill>
    <fill>
      <patternFill patternType="solid">
        <fgColor theme="3" tint="0.39997558519241921"/>
        <bgColor indexed="64"/>
      </patternFill>
    </fill>
    <fill>
      <patternFill patternType="solid">
        <fgColor theme="3" tint="-0.249977111117893"/>
        <bgColor indexed="64"/>
      </patternFill>
    </fill>
    <fill>
      <patternFill patternType="solid">
        <fgColor theme="7" tint="0.79998168889431442"/>
        <bgColor indexed="64"/>
      </patternFill>
    </fill>
    <fill>
      <patternFill patternType="solid">
        <fgColor rgb="FFFFFFFF"/>
        <bgColor rgb="FF000000"/>
      </patternFill>
    </fill>
    <fill>
      <patternFill patternType="solid">
        <fgColor theme="6"/>
        <bgColor indexed="64"/>
      </patternFill>
    </fill>
    <fill>
      <patternFill patternType="solid">
        <fgColor rgb="FF000000"/>
        <bgColor indexed="64"/>
      </patternFill>
    </fill>
    <fill>
      <patternFill patternType="solid">
        <fgColor theme="0"/>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C0C0"/>
        <bgColor indexed="64"/>
      </patternFill>
    </fill>
    <fill>
      <patternFill patternType="solid">
        <fgColor theme="5"/>
        <bgColor indexed="64"/>
      </patternFill>
    </fill>
    <fill>
      <patternFill patternType="solid">
        <fgColor theme="3"/>
        <bgColor indexed="64"/>
      </patternFill>
    </fill>
    <fill>
      <patternFill patternType="solid">
        <fgColor theme="1" tint="0.499984740745262"/>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s>
  <borders count="21">
    <border>
      <left/>
      <right/>
      <top/>
      <bottom/>
      <diagonal/>
    </border>
    <border>
      <left/>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right/>
      <top style="medium">
        <color theme="4" tint="-0.499984740745262"/>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thin">
        <color indexed="8"/>
      </top>
      <bottom style="thin">
        <color indexed="8"/>
      </bottom>
      <diagonal/>
    </border>
  </borders>
  <cellStyleXfs count="2177">
    <xf numFmtId="0" fontId="0" fillId="0" borderId="0"/>
    <xf numFmtId="0" fontId="12" fillId="0" borderId="0">
      <alignment vertical="center"/>
    </xf>
    <xf numFmtId="43" fontId="26" fillId="0" borderId="0" applyFont="0" applyFill="0" applyBorder="0" applyAlignment="0" applyProtection="0"/>
    <xf numFmtId="9" fontId="26" fillId="0" borderId="0" applyFont="0" applyFill="0" applyBorder="0" applyAlignment="0" applyProtection="0"/>
    <xf numFmtId="0" fontId="38" fillId="0" borderId="0"/>
    <xf numFmtId="0" fontId="39" fillId="0" borderId="0"/>
    <xf numFmtId="0" fontId="47" fillId="0" borderId="0" applyNumberFormat="0" applyFill="0" applyBorder="0" applyAlignment="0" applyProtection="0"/>
    <xf numFmtId="9" fontId="29" fillId="0" borderId="0" applyFont="0" applyFill="0" applyBorder="0" applyAlignment="0" applyProtection="0"/>
    <xf numFmtId="0" fontId="29" fillId="0" borderId="0"/>
    <xf numFmtId="0" fontId="29" fillId="0" borderId="0"/>
    <xf numFmtId="0" fontId="38" fillId="0" borderId="0"/>
    <xf numFmtId="9" fontId="38" fillId="0" borderId="0" applyFont="0" applyFill="0" applyBorder="0" applyAlignment="0" applyProtection="0"/>
    <xf numFmtId="9" fontId="38" fillId="0" borderId="0" applyFont="0" applyFill="0" applyBorder="0" applyAlignment="0" applyProtection="0"/>
    <xf numFmtId="9" fontId="29" fillId="0" borderId="0" applyFont="0" applyFill="0" applyBorder="0" applyAlignment="0" applyProtection="0"/>
    <xf numFmtId="0" fontId="55" fillId="0" borderId="0"/>
    <xf numFmtId="0" fontId="10" fillId="0" borderId="0"/>
    <xf numFmtId="9" fontId="10" fillId="0" borderId="0" applyFont="0" applyFill="0" applyBorder="0" applyAlignment="0" applyProtection="0"/>
    <xf numFmtId="0" fontId="39" fillId="0" borderId="0"/>
    <xf numFmtId="0" fontId="10" fillId="0" borderId="0"/>
    <xf numFmtId="0" fontId="39" fillId="0" borderId="0" applyNumberFormat="0" applyFill="0" applyBorder="0" applyAlignment="0" applyProtection="0"/>
    <xf numFmtId="178" fontId="55" fillId="0" borderId="0" applyFill="0" applyBorder="0" applyAlignment="0" applyProtection="0"/>
    <xf numFmtId="179" fontId="60" fillId="10" borderId="10" applyAlignment="0" applyProtection="0"/>
    <xf numFmtId="0" fontId="11" fillId="0" borderId="0"/>
    <xf numFmtId="43" fontId="11" fillId="0" borderId="0" applyFont="0" applyFill="0" applyBorder="0" applyAlignment="0" applyProtection="0"/>
    <xf numFmtId="9" fontId="11" fillId="0" borderId="0" applyFont="0" applyFill="0" applyBorder="0" applyAlignment="0" applyProtection="0"/>
    <xf numFmtId="182" fontId="11" fillId="0" borderId="0" applyFont="0" applyFill="0" applyBorder="0" applyAlignment="0" applyProtection="0"/>
    <xf numFmtId="181" fontId="11" fillId="0" borderId="0" applyFont="0" applyFill="0" applyBorder="0" applyAlignment="0" applyProtection="0"/>
    <xf numFmtId="0" fontId="20" fillId="0" borderId="0"/>
    <xf numFmtId="0" fontId="63" fillId="0" borderId="0"/>
    <xf numFmtId="183" fontId="63" fillId="0" borderId="0" applyFont="0" applyFill="0" applyBorder="0" applyAlignment="0" applyProtection="0"/>
    <xf numFmtId="9" fontId="63" fillId="0" borderId="0" applyFont="0" applyFill="0" applyBorder="0" applyAlignment="0" applyProtection="0"/>
    <xf numFmtId="43" fontId="11" fillId="0" borderId="0" applyFont="0" applyFill="0" applyBorder="0" applyAlignment="0" applyProtection="0"/>
    <xf numFmtId="43" fontId="26" fillId="0" borderId="0" applyFont="0" applyFill="0" applyBorder="0" applyAlignment="0" applyProtection="0"/>
    <xf numFmtId="0" fontId="11" fillId="0" borderId="0"/>
    <xf numFmtId="0" fontId="78" fillId="0" borderId="0" applyNumberFormat="0" applyFill="0" applyBorder="0" applyAlignment="0" applyProtection="0"/>
    <xf numFmtId="0" fontId="9" fillId="0" borderId="0"/>
    <xf numFmtId="0" fontId="9" fillId="0" borderId="0"/>
    <xf numFmtId="9" fontId="9" fillId="0" borderId="0" applyFont="0" applyFill="0" applyBorder="0" applyAlignment="0" applyProtection="0"/>
    <xf numFmtId="9" fontId="39" fillId="0" borderId="0" applyFont="0" applyFill="0" applyBorder="0" applyAlignment="0" applyProtection="0"/>
    <xf numFmtId="191" fontId="108" fillId="48" borderId="0"/>
    <xf numFmtId="0" fontId="9" fillId="24" borderId="0" applyNumberFormat="0" applyBorder="0" applyAlignment="0" applyProtection="0"/>
    <xf numFmtId="0" fontId="9" fillId="28" borderId="0" applyNumberFormat="0" applyBorder="0" applyAlignment="0" applyProtection="0"/>
    <xf numFmtId="0" fontId="9" fillId="32"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21" borderId="0" applyNumberFormat="0" applyBorder="0" applyAlignment="0" applyProtection="0"/>
    <xf numFmtId="0" fontId="9" fillId="25" borderId="0" applyNumberFormat="0" applyBorder="0" applyAlignment="0" applyProtection="0"/>
    <xf numFmtId="0" fontId="9" fillId="29" borderId="0" applyNumberFormat="0" applyBorder="0" applyAlignment="0" applyProtection="0"/>
    <xf numFmtId="0" fontId="9" fillId="33" borderId="0" applyNumberFormat="0" applyBorder="0" applyAlignment="0" applyProtection="0"/>
    <xf numFmtId="0" fontId="9" fillId="37" borderId="0" applyNumberFormat="0" applyBorder="0" applyAlignment="0" applyProtection="0"/>
    <xf numFmtId="0" fontId="9" fillId="41" borderId="0" applyNumberFormat="0" applyBorder="0" applyAlignment="0" applyProtection="0"/>
    <xf numFmtId="0" fontId="76" fillId="22" borderId="0" applyNumberFormat="0" applyBorder="0" applyAlignment="0" applyProtection="0"/>
    <xf numFmtId="0" fontId="76" fillId="26" borderId="0" applyNumberFormat="0" applyBorder="0" applyAlignment="0" applyProtection="0"/>
    <xf numFmtId="0" fontId="76" fillId="30" borderId="0" applyNumberFormat="0" applyBorder="0" applyAlignment="0" applyProtection="0"/>
    <xf numFmtId="0" fontId="76" fillId="34" borderId="0" applyNumberFormat="0" applyBorder="0" applyAlignment="0" applyProtection="0"/>
    <xf numFmtId="0" fontId="76" fillId="38" borderId="0" applyNumberFormat="0" applyBorder="0" applyAlignment="0" applyProtection="0"/>
    <xf numFmtId="0" fontId="76" fillId="42" borderId="0" applyNumberFormat="0" applyBorder="0" applyAlignment="0" applyProtection="0"/>
    <xf numFmtId="0" fontId="75" fillId="0" borderId="18" applyNumberFormat="0" applyFill="0" applyAlignment="0" applyProtection="0"/>
    <xf numFmtId="0" fontId="68" fillId="14" borderId="0" applyNumberFormat="0" applyBorder="0" applyAlignment="0" applyProtection="0"/>
    <xf numFmtId="0" fontId="104" fillId="47" borderId="0"/>
    <xf numFmtId="0" fontId="64" fillId="0" borderId="11" applyNumberFormat="0" applyFill="0" applyAlignment="0" applyProtection="0"/>
    <xf numFmtId="0" fontId="65" fillId="0" borderId="12" applyNumberFormat="0" applyFill="0" applyAlignment="0" applyProtection="0"/>
    <xf numFmtId="0" fontId="66" fillId="0" borderId="13" applyNumberFormat="0" applyFill="0" applyAlignment="0" applyProtection="0"/>
    <xf numFmtId="0" fontId="66" fillId="0" borderId="0" applyNumberFormat="0" applyFill="0" applyBorder="0" applyAlignment="0" applyProtection="0"/>
    <xf numFmtId="0" fontId="80" fillId="0" borderId="0" applyNumberFormat="0" applyFill="0" applyBorder="0" applyAlignment="0" applyProtection="0"/>
    <xf numFmtId="0" fontId="81" fillId="15" borderId="0" applyNumberFormat="0" applyBorder="0" applyAlignment="0" applyProtection="0"/>
    <xf numFmtId="0" fontId="79" fillId="18" borderId="17" applyNumberFormat="0" applyFont="0" applyAlignment="0" applyProtection="0"/>
    <xf numFmtId="0" fontId="72" fillId="0" borderId="16" applyNumberFormat="0" applyFill="0" applyAlignment="0" applyProtection="0"/>
    <xf numFmtId="0" fontId="67" fillId="13" borderId="0" applyNumberFormat="0" applyBorder="0" applyAlignment="0" applyProtection="0"/>
    <xf numFmtId="0" fontId="73" fillId="0" borderId="0" applyNumberFormat="0" applyFill="0" applyBorder="0" applyAlignment="0" applyProtection="0"/>
    <xf numFmtId="0" fontId="69" fillId="16" borderId="14" applyNumberFormat="0" applyAlignment="0" applyProtection="0"/>
    <xf numFmtId="0" fontId="71" fillId="17" borderId="14" applyNumberFormat="0" applyAlignment="0" applyProtection="0"/>
    <xf numFmtId="0" fontId="70" fillId="17" borderId="15" applyNumberFormat="0" applyAlignment="0" applyProtection="0"/>
    <xf numFmtId="0" fontId="74" fillId="0" borderId="0" applyNumberFormat="0" applyFill="0" applyBorder="0" applyAlignment="0" applyProtection="0"/>
    <xf numFmtId="0" fontId="76" fillId="19" borderId="0" applyNumberFormat="0" applyBorder="0" applyAlignment="0" applyProtection="0"/>
    <xf numFmtId="0" fontId="76" fillId="23" borderId="0" applyNumberFormat="0" applyBorder="0" applyAlignment="0" applyProtection="0"/>
    <xf numFmtId="0" fontId="76" fillId="27" borderId="0" applyNumberFormat="0" applyBorder="0" applyAlignment="0" applyProtection="0"/>
    <xf numFmtId="0" fontId="76" fillId="31" borderId="0" applyNumberFormat="0" applyBorder="0" applyAlignment="0" applyProtection="0"/>
    <xf numFmtId="0" fontId="76" fillId="35" borderId="0" applyNumberFormat="0" applyBorder="0" applyAlignment="0" applyProtection="0"/>
    <xf numFmtId="0" fontId="76" fillId="39" borderId="0" applyNumberFormat="0" applyBorder="0" applyAlignment="0" applyProtection="0"/>
    <xf numFmtId="0" fontId="55"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82"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83" fillId="11" borderId="0">
      <alignment horizontal="left" vertical="center"/>
    </xf>
    <xf numFmtId="0" fontId="84" fillId="0" borderId="0">
      <alignment horizontal="left" vertical="top"/>
    </xf>
    <xf numFmtId="0" fontId="85" fillId="0" borderId="0">
      <alignment horizontal="left" vertical="top"/>
    </xf>
    <xf numFmtId="0" fontId="86" fillId="0" borderId="0">
      <alignment horizontal="left" vertical="top"/>
    </xf>
    <xf numFmtId="0" fontId="85" fillId="43" borderId="0">
      <alignment horizontal="left" vertical="center"/>
    </xf>
    <xf numFmtId="0" fontId="85" fillId="43" borderId="0">
      <alignment horizontal="right" vertical="center"/>
    </xf>
    <xf numFmtId="0" fontId="85" fillId="0" borderId="0">
      <alignment horizontal="right" vertical="top"/>
    </xf>
    <xf numFmtId="0" fontId="85" fillId="0" borderId="0">
      <alignment horizontal="left" vertical="top"/>
    </xf>
    <xf numFmtId="0" fontId="87" fillId="0" borderId="0">
      <alignment horizontal="right" vertical="top"/>
    </xf>
    <xf numFmtId="0" fontId="87" fillId="0" borderId="0">
      <alignment horizontal="left" vertical="top"/>
    </xf>
    <xf numFmtId="0" fontId="87" fillId="0" borderId="0">
      <alignment horizontal="left" vertical="top"/>
    </xf>
    <xf numFmtId="0" fontId="85" fillId="0" borderId="0">
      <alignment horizontal="right" vertical="top"/>
    </xf>
    <xf numFmtId="0" fontId="86" fillId="0" borderId="0">
      <alignment horizontal="left" vertical="top"/>
    </xf>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84" fillId="0" borderId="0">
      <alignment horizontal="left" vertical="center"/>
    </xf>
    <xf numFmtId="0" fontId="88" fillId="0" borderId="0">
      <alignment horizontal="left" vertical="top"/>
    </xf>
    <xf numFmtId="0" fontId="85" fillId="0" borderId="0">
      <alignment horizontal="left" vertical="top"/>
    </xf>
    <xf numFmtId="0" fontId="86" fillId="0" borderId="0">
      <alignment horizontal="left" vertical="top"/>
    </xf>
    <xf numFmtId="0" fontId="85" fillId="43" borderId="0">
      <alignment horizontal="left" vertical="center"/>
    </xf>
    <xf numFmtId="0" fontId="85" fillId="43" borderId="0">
      <alignment horizontal="left" vertical="center"/>
    </xf>
    <xf numFmtId="0" fontId="85" fillId="43" borderId="0">
      <alignment horizontal="right" vertical="center"/>
    </xf>
    <xf numFmtId="0" fontId="87" fillId="0" borderId="0">
      <alignment horizontal="left" vertical="top"/>
    </xf>
    <xf numFmtId="0" fontId="87" fillId="0" borderId="0">
      <alignment horizontal="right" vertical="top"/>
    </xf>
    <xf numFmtId="0" fontId="85" fillId="0" borderId="0">
      <alignment horizontal="left" vertical="top"/>
    </xf>
    <xf numFmtId="0" fontId="85" fillId="0" borderId="0">
      <alignment horizontal="left" vertical="top"/>
    </xf>
    <xf numFmtId="0" fontId="85" fillId="0" borderId="0">
      <alignment horizontal="right" vertical="top"/>
    </xf>
    <xf numFmtId="0" fontId="85" fillId="0" borderId="0">
      <alignment horizontal="right" vertical="top"/>
    </xf>
    <xf numFmtId="0" fontId="85" fillId="0" borderId="0">
      <alignment horizontal="left" vertical="top"/>
    </xf>
    <xf numFmtId="0" fontId="85" fillId="0" borderId="0">
      <alignment horizontal="right" vertical="top"/>
    </xf>
    <xf numFmtId="0" fontId="86" fillId="0" borderId="0">
      <alignment horizontal="left" vertical="top"/>
    </xf>
    <xf numFmtId="0" fontId="9" fillId="0" borderId="0"/>
    <xf numFmtId="0" fontId="9" fillId="0" borderId="0"/>
    <xf numFmtId="9" fontId="9" fillId="0" borderId="0" applyFont="0" applyFill="0" applyBorder="0" applyAlignment="0" applyProtection="0"/>
    <xf numFmtId="0" fontId="9" fillId="20" borderId="0" applyNumberFormat="0" applyBorder="0" applyAlignment="0" applyProtection="0"/>
    <xf numFmtId="0" fontId="9" fillId="24" borderId="0" applyNumberFormat="0" applyBorder="0" applyAlignment="0" applyProtection="0"/>
    <xf numFmtId="0" fontId="9" fillId="28" borderId="0" applyNumberFormat="0" applyBorder="0" applyAlignment="0" applyProtection="0"/>
    <xf numFmtId="0" fontId="9" fillId="32"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21" borderId="0" applyNumberFormat="0" applyBorder="0" applyAlignment="0" applyProtection="0"/>
    <xf numFmtId="0" fontId="9" fillId="25" borderId="0" applyNumberFormat="0" applyBorder="0" applyAlignment="0" applyProtection="0"/>
    <xf numFmtId="0" fontId="9" fillId="29" borderId="0" applyNumberFormat="0" applyBorder="0" applyAlignment="0" applyProtection="0"/>
    <xf numFmtId="0" fontId="9" fillId="33" borderId="0" applyNumberFormat="0" applyBorder="0" applyAlignment="0" applyProtection="0"/>
    <xf numFmtId="0" fontId="9" fillId="37" borderId="0" applyNumberFormat="0" applyBorder="0" applyAlignment="0" applyProtection="0"/>
    <xf numFmtId="0" fontId="9" fillId="41" borderId="0" applyNumberFormat="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20" borderId="0" applyNumberFormat="0" applyBorder="0" applyAlignment="0" applyProtection="0"/>
    <xf numFmtId="0" fontId="9" fillId="24" borderId="0" applyNumberFormat="0" applyBorder="0" applyAlignment="0" applyProtection="0"/>
    <xf numFmtId="0" fontId="9" fillId="28" borderId="0" applyNumberFormat="0" applyBorder="0" applyAlignment="0" applyProtection="0"/>
    <xf numFmtId="0" fontId="9" fillId="32"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21" borderId="0" applyNumberFormat="0" applyBorder="0" applyAlignment="0" applyProtection="0"/>
    <xf numFmtId="0" fontId="9" fillId="25" borderId="0" applyNumberFormat="0" applyBorder="0" applyAlignment="0" applyProtection="0"/>
    <xf numFmtId="0" fontId="9" fillId="29" borderId="0" applyNumberFormat="0" applyBorder="0" applyAlignment="0" applyProtection="0"/>
    <xf numFmtId="0" fontId="9" fillId="33" borderId="0" applyNumberFormat="0" applyBorder="0" applyAlignment="0" applyProtection="0"/>
    <xf numFmtId="0" fontId="9" fillId="37" borderId="0" applyNumberFormat="0" applyBorder="0" applyAlignment="0" applyProtection="0"/>
    <xf numFmtId="0" fontId="9" fillId="41" borderId="0" applyNumberFormat="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11" fillId="0" borderId="0"/>
    <xf numFmtId="43" fontId="9" fillId="0" borderId="0" applyFont="0" applyFill="0" applyBorder="0" applyAlignment="0" applyProtection="0"/>
    <xf numFmtId="186" fontId="9" fillId="0" borderId="0" applyFont="0" applyFill="0" applyBorder="0" applyAlignment="0" applyProtection="0"/>
    <xf numFmtId="9" fontId="9" fillId="0" borderId="0" applyFont="0" applyFill="0" applyBorder="0" applyAlignment="0" applyProtection="0"/>
    <xf numFmtId="41" fontId="105" fillId="0" borderId="0"/>
    <xf numFmtId="43" fontId="9" fillId="0" borderId="0" applyFont="0" applyFill="0" applyBorder="0" applyAlignment="0" applyProtection="0"/>
    <xf numFmtId="0" fontId="9" fillId="0" borderId="0"/>
    <xf numFmtId="0" fontId="39" fillId="0" borderId="0" applyNumberFormat="0" applyFill="0" applyBorder="0" applyAlignment="0" applyProtection="0"/>
    <xf numFmtId="0" fontId="9" fillId="0" borderId="0"/>
    <xf numFmtId="0" fontId="9" fillId="0" borderId="0"/>
    <xf numFmtId="0" fontId="9" fillId="0" borderId="0"/>
    <xf numFmtId="0" fontId="11" fillId="0" borderId="0"/>
    <xf numFmtId="0" fontId="8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9" fontId="11"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0" fillId="0" borderId="0"/>
    <xf numFmtId="9" fontId="90" fillId="0" borderId="0" applyFont="0" applyFill="0" applyBorder="0" applyAlignment="0" applyProtection="0"/>
    <xf numFmtId="0" fontId="11" fillId="0" borderId="0"/>
    <xf numFmtId="43" fontId="26"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20" borderId="0" applyNumberFormat="0" applyBorder="0" applyAlignment="0" applyProtection="0"/>
    <xf numFmtId="0" fontId="9" fillId="24" borderId="0" applyNumberFormat="0" applyBorder="0" applyAlignment="0" applyProtection="0"/>
    <xf numFmtId="0" fontId="9" fillId="28" borderId="0" applyNumberFormat="0" applyBorder="0" applyAlignment="0" applyProtection="0"/>
    <xf numFmtId="0" fontId="9" fillId="32"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21" borderId="0" applyNumberFormat="0" applyBorder="0" applyAlignment="0" applyProtection="0"/>
    <xf numFmtId="0" fontId="9" fillId="25" borderId="0" applyNumberFormat="0" applyBorder="0" applyAlignment="0" applyProtection="0"/>
    <xf numFmtId="0" fontId="9" fillId="29" borderId="0" applyNumberFormat="0" applyBorder="0" applyAlignment="0" applyProtection="0"/>
    <xf numFmtId="0" fontId="9" fillId="33" borderId="0" applyNumberFormat="0" applyBorder="0" applyAlignment="0" applyProtection="0"/>
    <xf numFmtId="0" fontId="9" fillId="37" borderId="0" applyNumberFormat="0" applyBorder="0" applyAlignment="0" applyProtection="0"/>
    <xf numFmtId="0" fontId="9" fillId="41" borderId="0" applyNumberFormat="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20" borderId="0" applyNumberFormat="0" applyBorder="0" applyAlignment="0" applyProtection="0"/>
    <xf numFmtId="0" fontId="9" fillId="24" borderId="0" applyNumberFormat="0" applyBorder="0" applyAlignment="0" applyProtection="0"/>
    <xf numFmtId="0" fontId="9" fillId="28" borderId="0" applyNumberFormat="0" applyBorder="0" applyAlignment="0" applyProtection="0"/>
    <xf numFmtId="0" fontId="9" fillId="32"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21" borderId="0" applyNumberFormat="0" applyBorder="0" applyAlignment="0" applyProtection="0"/>
    <xf numFmtId="0" fontId="9" fillId="25" borderId="0" applyNumberFormat="0" applyBorder="0" applyAlignment="0" applyProtection="0"/>
    <xf numFmtId="0" fontId="9" fillId="29" borderId="0" applyNumberFormat="0" applyBorder="0" applyAlignment="0" applyProtection="0"/>
    <xf numFmtId="0" fontId="9" fillId="33" borderId="0" applyNumberFormat="0" applyBorder="0" applyAlignment="0" applyProtection="0"/>
    <xf numFmtId="0" fontId="9" fillId="37" borderId="0" applyNumberFormat="0" applyBorder="0" applyAlignment="0" applyProtection="0"/>
    <xf numFmtId="0" fontId="9" fillId="41" borderId="0" applyNumberFormat="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20" borderId="0" applyNumberFormat="0" applyBorder="0" applyAlignment="0" applyProtection="0"/>
    <xf numFmtId="0" fontId="9" fillId="24" borderId="0" applyNumberFormat="0" applyBorder="0" applyAlignment="0" applyProtection="0"/>
    <xf numFmtId="0" fontId="9" fillId="28" borderId="0" applyNumberFormat="0" applyBorder="0" applyAlignment="0" applyProtection="0"/>
    <xf numFmtId="0" fontId="9" fillId="32" borderId="0" applyNumberFormat="0" applyBorder="0" applyAlignment="0" applyProtection="0"/>
    <xf numFmtId="0" fontId="9" fillId="36" borderId="0" applyNumberFormat="0" applyBorder="0" applyAlignment="0" applyProtection="0"/>
    <xf numFmtId="0" fontId="9" fillId="40" borderId="0" applyNumberFormat="0" applyBorder="0" applyAlignment="0" applyProtection="0"/>
    <xf numFmtId="0" fontId="9" fillId="21" borderId="0" applyNumberFormat="0" applyBorder="0" applyAlignment="0" applyProtection="0"/>
    <xf numFmtId="0" fontId="9" fillId="25" borderId="0" applyNumberFormat="0" applyBorder="0" applyAlignment="0" applyProtection="0"/>
    <xf numFmtId="0" fontId="9" fillId="29" borderId="0" applyNumberFormat="0" applyBorder="0" applyAlignment="0" applyProtection="0"/>
    <xf numFmtId="0" fontId="9" fillId="33" borderId="0" applyNumberFormat="0" applyBorder="0" applyAlignment="0" applyProtection="0"/>
    <xf numFmtId="0" fontId="9" fillId="37" borderId="0" applyNumberFormat="0" applyBorder="0" applyAlignment="0" applyProtection="0"/>
    <xf numFmtId="0" fontId="9" fillId="41" borderId="0" applyNumberFormat="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186" fontId="9" fillId="0" borderId="0" applyFont="0" applyFill="0" applyBorder="0" applyAlignment="0" applyProtection="0"/>
    <xf numFmtId="9" fontId="9" fillId="0" borderId="0" applyFont="0" applyFill="0" applyBorder="0" applyAlignment="0" applyProtection="0"/>
    <xf numFmtId="41" fontId="106"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43" fontId="26" fillId="0" borderId="0" applyFont="0" applyFill="0" applyBorder="0" applyAlignment="0" applyProtection="0"/>
    <xf numFmtId="0" fontId="39" fillId="0" borderId="0"/>
    <xf numFmtId="0" fontId="91" fillId="0" borderId="0"/>
    <xf numFmtId="0" fontId="9" fillId="0" borderId="0"/>
    <xf numFmtId="0" fontId="35" fillId="0" borderId="0"/>
    <xf numFmtId="0" fontId="39" fillId="0" borderId="0"/>
    <xf numFmtId="0" fontId="8" fillId="0" borderId="0"/>
    <xf numFmtId="0" fontId="8" fillId="0" borderId="0"/>
    <xf numFmtId="9" fontId="8" fillId="0" borderId="0" applyFont="0" applyFill="0" applyBorder="0" applyAlignment="0" applyProtection="0"/>
    <xf numFmtId="0" fontId="8" fillId="20" borderId="0" applyNumberFormat="0" applyBorder="0" applyAlignment="0" applyProtection="0"/>
    <xf numFmtId="0" fontId="8" fillId="24" borderId="0" applyNumberFormat="0" applyBorder="0" applyAlignment="0" applyProtection="0"/>
    <xf numFmtId="0" fontId="8" fillId="28" borderId="0" applyNumberFormat="0" applyBorder="0" applyAlignment="0" applyProtection="0"/>
    <xf numFmtId="0" fontId="8" fillId="32"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21" borderId="0" applyNumberFormat="0" applyBorder="0" applyAlignment="0" applyProtection="0"/>
    <xf numFmtId="0" fontId="8" fillId="25" borderId="0" applyNumberFormat="0" applyBorder="0" applyAlignment="0" applyProtection="0"/>
    <xf numFmtId="0" fontId="8" fillId="29" borderId="0" applyNumberFormat="0" applyBorder="0" applyAlignment="0" applyProtection="0"/>
    <xf numFmtId="0" fontId="8" fillId="33" borderId="0" applyNumberFormat="0" applyBorder="0" applyAlignment="0" applyProtection="0"/>
    <xf numFmtId="0" fontId="8" fillId="37" borderId="0" applyNumberFormat="0" applyBorder="0" applyAlignment="0" applyProtection="0"/>
    <xf numFmtId="0" fontId="8" fillId="41" borderId="0" applyNumberFormat="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20" borderId="0" applyNumberFormat="0" applyBorder="0" applyAlignment="0" applyProtection="0"/>
    <xf numFmtId="0" fontId="8" fillId="24" borderId="0" applyNumberFormat="0" applyBorder="0" applyAlignment="0" applyProtection="0"/>
    <xf numFmtId="0" fontId="8" fillId="28" borderId="0" applyNumberFormat="0" applyBorder="0" applyAlignment="0" applyProtection="0"/>
    <xf numFmtId="0" fontId="8" fillId="32"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21" borderId="0" applyNumberFormat="0" applyBorder="0" applyAlignment="0" applyProtection="0"/>
    <xf numFmtId="0" fontId="8" fillId="25" borderId="0" applyNumberFormat="0" applyBorder="0" applyAlignment="0" applyProtection="0"/>
    <xf numFmtId="0" fontId="8" fillId="29" borderId="0" applyNumberFormat="0" applyBorder="0" applyAlignment="0" applyProtection="0"/>
    <xf numFmtId="0" fontId="8" fillId="33" borderId="0" applyNumberFormat="0" applyBorder="0" applyAlignment="0" applyProtection="0"/>
    <xf numFmtId="0" fontId="8" fillId="37" borderId="0" applyNumberFormat="0" applyBorder="0" applyAlignment="0" applyProtection="0"/>
    <xf numFmtId="0" fontId="8" fillId="41" borderId="0" applyNumberFormat="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20" borderId="0" applyNumberFormat="0" applyBorder="0" applyAlignment="0" applyProtection="0"/>
    <xf numFmtId="0" fontId="8" fillId="24" borderId="0" applyNumberFormat="0" applyBorder="0" applyAlignment="0" applyProtection="0"/>
    <xf numFmtId="0" fontId="8" fillId="28" borderId="0" applyNumberFormat="0" applyBorder="0" applyAlignment="0" applyProtection="0"/>
    <xf numFmtId="0" fontId="8" fillId="32"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21" borderId="0" applyNumberFormat="0" applyBorder="0" applyAlignment="0" applyProtection="0"/>
    <xf numFmtId="0" fontId="8" fillId="25" borderId="0" applyNumberFormat="0" applyBorder="0" applyAlignment="0" applyProtection="0"/>
    <xf numFmtId="0" fontId="8" fillId="29" borderId="0" applyNumberFormat="0" applyBorder="0" applyAlignment="0" applyProtection="0"/>
    <xf numFmtId="0" fontId="8" fillId="33" borderId="0" applyNumberFormat="0" applyBorder="0" applyAlignment="0" applyProtection="0"/>
    <xf numFmtId="0" fontId="8" fillId="37" borderId="0" applyNumberFormat="0" applyBorder="0" applyAlignment="0" applyProtection="0"/>
    <xf numFmtId="0" fontId="8" fillId="41" borderId="0" applyNumberFormat="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191" fontId="107" fillId="16" borderId="14"/>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43" fontId="8" fillId="0" borderId="0" applyFont="0" applyFill="0" applyBorder="0" applyAlignment="0" applyProtection="0"/>
    <xf numFmtId="186" fontId="8" fillId="0" borderId="0" applyFont="0" applyFill="0" applyBorder="0" applyAlignment="0" applyProtection="0"/>
    <xf numFmtId="9" fontId="8" fillId="0" borderId="0" applyFont="0" applyFill="0" applyBorder="0" applyAlignment="0" applyProtection="0"/>
    <xf numFmtId="187" fontId="8"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8" fillId="0" borderId="0"/>
    <xf numFmtId="0" fontId="8" fillId="0" borderId="0"/>
    <xf numFmtId="43" fontId="8"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20" borderId="0" applyNumberFormat="0" applyBorder="0" applyAlignment="0" applyProtection="0"/>
    <xf numFmtId="0" fontId="8" fillId="24" borderId="0" applyNumberFormat="0" applyBorder="0" applyAlignment="0" applyProtection="0"/>
    <xf numFmtId="0" fontId="8" fillId="28" borderId="0" applyNumberFormat="0" applyBorder="0" applyAlignment="0" applyProtection="0"/>
    <xf numFmtId="0" fontId="8" fillId="32"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21" borderId="0" applyNumberFormat="0" applyBorder="0" applyAlignment="0" applyProtection="0"/>
    <xf numFmtId="0" fontId="8" fillId="25" borderId="0" applyNumberFormat="0" applyBorder="0" applyAlignment="0" applyProtection="0"/>
    <xf numFmtId="0" fontId="8" fillId="29" borderId="0" applyNumberFormat="0" applyBorder="0" applyAlignment="0" applyProtection="0"/>
    <xf numFmtId="0" fontId="8" fillId="33" borderId="0" applyNumberFormat="0" applyBorder="0" applyAlignment="0" applyProtection="0"/>
    <xf numFmtId="0" fontId="8" fillId="37" borderId="0" applyNumberFormat="0" applyBorder="0" applyAlignment="0" applyProtection="0"/>
    <xf numFmtId="0" fontId="8" fillId="41" borderId="0" applyNumberFormat="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20" borderId="0" applyNumberFormat="0" applyBorder="0" applyAlignment="0" applyProtection="0"/>
    <xf numFmtId="0" fontId="8" fillId="24" borderId="0" applyNumberFormat="0" applyBorder="0" applyAlignment="0" applyProtection="0"/>
    <xf numFmtId="0" fontId="8" fillId="28" borderId="0" applyNumberFormat="0" applyBorder="0" applyAlignment="0" applyProtection="0"/>
    <xf numFmtId="0" fontId="8" fillId="32"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21" borderId="0" applyNumberFormat="0" applyBorder="0" applyAlignment="0" applyProtection="0"/>
    <xf numFmtId="0" fontId="8" fillId="25" borderId="0" applyNumberFormat="0" applyBorder="0" applyAlignment="0" applyProtection="0"/>
    <xf numFmtId="0" fontId="8" fillId="29" borderId="0" applyNumberFormat="0" applyBorder="0" applyAlignment="0" applyProtection="0"/>
    <xf numFmtId="0" fontId="8" fillId="33" borderId="0" applyNumberFormat="0" applyBorder="0" applyAlignment="0" applyProtection="0"/>
    <xf numFmtId="0" fontId="8" fillId="37" borderId="0" applyNumberFormat="0" applyBorder="0" applyAlignment="0" applyProtection="0"/>
    <xf numFmtId="0" fontId="8" fillId="41" borderId="0" applyNumberFormat="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20" borderId="0" applyNumberFormat="0" applyBorder="0" applyAlignment="0" applyProtection="0"/>
    <xf numFmtId="0" fontId="8" fillId="24" borderId="0" applyNumberFormat="0" applyBorder="0" applyAlignment="0" applyProtection="0"/>
    <xf numFmtId="0" fontId="8" fillId="28" borderId="0" applyNumberFormat="0" applyBorder="0" applyAlignment="0" applyProtection="0"/>
    <xf numFmtId="0" fontId="8" fillId="32"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21" borderId="0" applyNumberFormat="0" applyBorder="0" applyAlignment="0" applyProtection="0"/>
    <xf numFmtId="0" fontId="8" fillId="25" borderId="0" applyNumberFormat="0" applyBorder="0" applyAlignment="0" applyProtection="0"/>
    <xf numFmtId="0" fontId="8" fillId="29" borderId="0" applyNumberFormat="0" applyBorder="0" applyAlignment="0" applyProtection="0"/>
    <xf numFmtId="0" fontId="8" fillId="33" borderId="0" applyNumberFormat="0" applyBorder="0" applyAlignment="0" applyProtection="0"/>
    <xf numFmtId="0" fontId="8" fillId="37" borderId="0" applyNumberFormat="0" applyBorder="0" applyAlignment="0" applyProtection="0"/>
    <xf numFmtId="0" fontId="8" fillId="41" borderId="0" applyNumberFormat="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43" fontId="8" fillId="0" borderId="0" applyFont="0" applyFill="0" applyBorder="0" applyAlignment="0" applyProtection="0"/>
    <xf numFmtId="186" fontId="8" fillId="0" borderId="0" applyFont="0" applyFill="0" applyBorder="0" applyAlignment="0" applyProtection="0"/>
    <xf numFmtId="9" fontId="8" fillId="0" borderId="0" applyFont="0" applyFill="0" applyBorder="0" applyAlignment="0" applyProtection="0"/>
    <xf numFmtId="187" fontId="8"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8" fillId="0" borderId="0"/>
    <xf numFmtId="0" fontId="8" fillId="0" borderId="0"/>
    <xf numFmtId="43" fontId="8"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9" fontId="8" fillId="0" borderId="0" applyFont="0" applyFill="0" applyBorder="0" applyAlignment="0" applyProtection="0"/>
    <xf numFmtId="0" fontId="8" fillId="0" borderId="0"/>
    <xf numFmtId="0" fontId="8" fillId="0" borderId="0"/>
    <xf numFmtId="0" fontId="8" fillId="0" borderId="0"/>
    <xf numFmtId="9"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92" fillId="0" borderId="0"/>
    <xf numFmtId="0" fontId="92" fillId="0" borderId="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5" borderId="0" applyNumberFormat="0" applyBorder="0" applyAlignment="0" applyProtection="0"/>
    <xf numFmtId="0" fontId="7" fillId="25" borderId="0" applyNumberFormat="0" applyBorder="0" applyAlignment="0" applyProtection="0"/>
    <xf numFmtId="0" fontId="7" fillId="25" borderId="0" applyNumberFormat="0" applyBorder="0" applyAlignment="0" applyProtection="0"/>
    <xf numFmtId="0" fontId="7" fillId="25" borderId="0" applyNumberFormat="0" applyBorder="0" applyAlignment="0" applyProtection="0"/>
    <xf numFmtId="0" fontId="7" fillId="25" borderId="0" applyNumberFormat="0" applyBorder="0" applyAlignment="0" applyProtection="0"/>
    <xf numFmtId="0" fontId="7" fillId="25"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29" borderId="0" applyNumberFormat="0" applyBorder="0" applyAlignment="0" applyProtection="0"/>
    <xf numFmtId="0" fontId="7" fillId="33" borderId="0" applyNumberFormat="0" applyBorder="0" applyAlignment="0" applyProtection="0"/>
    <xf numFmtId="0" fontId="7" fillId="33" borderId="0" applyNumberFormat="0" applyBorder="0" applyAlignment="0" applyProtection="0"/>
    <xf numFmtId="0" fontId="7" fillId="33" borderId="0" applyNumberFormat="0" applyBorder="0" applyAlignment="0" applyProtection="0"/>
    <xf numFmtId="0" fontId="7" fillId="33" borderId="0" applyNumberFormat="0" applyBorder="0" applyAlignment="0" applyProtection="0"/>
    <xf numFmtId="0" fontId="7" fillId="33" borderId="0" applyNumberFormat="0" applyBorder="0" applyAlignment="0" applyProtection="0"/>
    <xf numFmtId="0" fontId="7" fillId="33"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186"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9"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1" fillId="0" borderId="0"/>
    <xf numFmtId="0" fontId="7" fillId="0" borderId="0"/>
    <xf numFmtId="0" fontId="7" fillId="0" borderId="0"/>
    <xf numFmtId="0" fontId="55" fillId="0" borderId="0"/>
    <xf numFmtId="0" fontId="39" fillId="0" borderId="0" applyNumberFormat="0" applyFill="0" applyBorder="0" applyAlignment="0" applyProtection="0"/>
    <xf numFmtId="0" fontId="39" fillId="0" borderId="0" applyNumberFormat="0" applyFill="0" applyBorder="0" applyAlignment="0" applyProtection="0"/>
    <xf numFmtId="0" fontId="7" fillId="0" borderId="0"/>
    <xf numFmtId="0" fontId="7" fillId="0" borderId="0"/>
    <xf numFmtId="9" fontId="7" fillId="0" borderId="0" applyFont="0" applyFill="0" applyBorder="0" applyAlignment="0" applyProtection="0"/>
    <xf numFmtId="0" fontId="7" fillId="20" borderId="0" applyNumberFormat="0" applyBorder="0" applyAlignment="0" applyProtection="0"/>
    <xf numFmtId="0" fontId="7" fillId="24" borderId="0" applyNumberFormat="0" applyBorder="0" applyAlignment="0" applyProtection="0"/>
    <xf numFmtId="0" fontId="7" fillId="28" borderId="0" applyNumberFormat="0" applyBorder="0" applyAlignment="0" applyProtection="0"/>
    <xf numFmtId="0" fontId="7" fillId="32" borderId="0" applyNumberFormat="0" applyBorder="0" applyAlignment="0" applyProtection="0"/>
    <xf numFmtId="0" fontId="7" fillId="36" borderId="0" applyNumberFormat="0" applyBorder="0" applyAlignment="0" applyProtection="0"/>
    <xf numFmtId="190" fontId="103" fillId="16" borderId="14"/>
    <xf numFmtId="0" fontId="7" fillId="21" borderId="0" applyNumberFormat="0" applyBorder="0" applyAlignment="0" applyProtection="0"/>
    <xf numFmtId="0" fontId="7" fillId="25" borderId="0" applyNumberFormat="0" applyBorder="0" applyAlignment="0" applyProtection="0"/>
    <xf numFmtId="0" fontId="7" fillId="29" borderId="0" applyNumberFormat="0" applyBorder="0" applyAlignment="0" applyProtection="0"/>
    <xf numFmtId="0" fontId="7" fillId="33" borderId="0" applyNumberFormat="0" applyBorder="0" applyAlignment="0" applyProtection="0"/>
    <xf numFmtId="0" fontId="7" fillId="37" borderId="0" applyNumberFormat="0" applyBorder="0" applyAlignment="0" applyProtection="0"/>
    <xf numFmtId="0" fontId="7" fillId="41" borderId="0" applyNumberFormat="0" applyBorder="0" applyAlignment="0" applyProtection="0"/>
    <xf numFmtId="0" fontId="39" fillId="0" borderId="0" applyNumberForma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20" borderId="0" applyNumberFormat="0" applyBorder="0" applyAlignment="0" applyProtection="0"/>
    <xf numFmtId="191" fontId="101" fillId="0" borderId="0"/>
    <xf numFmtId="0" fontId="7" fillId="28" borderId="0" applyNumberFormat="0" applyBorder="0" applyAlignment="0" applyProtection="0"/>
    <xf numFmtId="0" fontId="7" fillId="32"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21" borderId="0" applyNumberFormat="0" applyBorder="0" applyAlignment="0" applyProtection="0"/>
    <xf numFmtId="0" fontId="7" fillId="25" borderId="0" applyNumberFormat="0" applyBorder="0" applyAlignment="0" applyProtection="0"/>
    <xf numFmtId="0" fontId="7" fillId="29" borderId="0" applyNumberFormat="0" applyBorder="0" applyAlignment="0" applyProtection="0"/>
    <xf numFmtId="0" fontId="7" fillId="33" borderId="0" applyNumberFormat="0" applyBorder="0" applyAlignment="0" applyProtection="0"/>
    <xf numFmtId="0" fontId="7" fillId="37" borderId="0" applyNumberFormat="0" applyBorder="0" applyAlignment="0" applyProtection="0"/>
    <xf numFmtId="0" fontId="7" fillId="41" borderId="0" applyNumberFormat="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20" borderId="0" applyNumberFormat="0" applyBorder="0" applyAlignment="0" applyProtection="0"/>
    <xf numFmtId="0" fontId="7" fillId="24" borderId="0" applyNumberFormat="0" applyBorder="0" applyAlignment="0" applyProtection="0"/>
    <xf numFmtId="0" fontId="7" fillId="28" borderId="0" applyNumberFormat="0" applyBorder="0" applyAlignment="0" applyProtection="0"/>
    <xf numFmtId="0" fontId="7" fillId="32"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21" borderId="0" applyNumberFormat="0" applyBorder="0" applyAlignment="0" applyProtection="0"/>
    <xf numFmtId="0" fontId="7" fillId="25" borderId="0" applyNumberFormat="0" applyBorder="0" applyAlignment="0" applyProtection="0"/>
    <xf numFmtId="0" fontId="7" fillId="29" borderId="0" applyNumberFormat="0" applyBorder="0" applyAlignment="0" applyProtection="0"/>
    <xf numFmtId="0" fontId="7" fillId="33" borderId="0" applyNumberFormat="0" applyBorder="0" applyAlignment="0" applyProtection="0"/>
    <xf numFmtId="0" fontId="7" fillId="37" borderId="0" applyNumberFormat="0" applyBorder="0" applyAlignment="0" applyProtection="0"/>
    <xf numFmtId="0" fontId="7" fillId="41" borderId="0" applyNumberFormat="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186" fontId="7" fillId="0" borderId="0" applyFont="0" applyFill="0" applyBorder="0" applyAlignment="0" applyProtection="0"/>
    <xf numFmtId="9" fontId="7" fillId="0" borderId="0" applyFont="0" applyFill="0" applyBorder="0" applyAlignment="0" applyProtection="0"/>
    <xf numFmtId="187"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20" borderId="0" applyNumberFormat="0" applyBorder="0" applyAlignment="0" applyProtection="0"/>
    <xf numFmtId="0" fontId="7" fillId="24" borderId="0" applyNumberFormat="0" applyBorder="0" applyAlignment="0" applyProtection="0"/>
    <xf numFmtId="0" fontId="7" fillId="28" borderId="0" applyNumberFormat="0" applyBorder="0" applyAlignment="0" applyProtection="0"/>
    <xf numFmtId="0" fontId="7" fillId="32"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21" borderId="0" applyNumberFormat="0" applyBorder="0" applyAlignment="0" applyProtection="0"/>
    <xf numFmtId="0" fontId="7" fillId="25" borderId="0" applyNumberFormat="0" applyBorder="0" applyAlignment="0" applyProtection="0"/>
    <xf numFmtId="0" fontId="7" fillId="29" borderId="0" applyNumberFormat="0" applyBorder="0" applyAlignment="0" applyProtection="0"/>
    <xf numFmtId="0" fontId="7" fillId="33" borderId="0" applyNumberFormat="0" applyBorder="0" applyAlignment="0" applyProtection="0"/>
    <xf numFmtId="0" fontId="7" fillId="37" borderId="0" applyNumberFormat="0" applyBorder="0" applyAlignment="0" applyProtection="0"/>
    <xf numFmtId="0" fontId="7" fillId="41" borderId="0" applyNumberFormat="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20" borderId="0" applyNumberFormat="0" applyBorder="0" applyAlignment="0" applyProtection="0"/>
    <xf numFmtId="0" fontId="7" fillId="24" borderId="0" applyNumberFormat="0" applyBorder="0" applyAlignment="0" applyProtection="0"/>
    <xf numFmtId="0" fontId="7" fillId="28" borderId="0" applyNumberFormat="0" applyBorder="0" applyAlignment="0" applyProtection="0"/>
    <xf numFmtId="0" fontId="7" fillId="32"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21" borderId="0" applyNumberFormat="0" applyBorder="0" applyAlignment="0" applyProtection="0"/>
    <xf numFmtId="0" fontId="7" fillId="25" borderId="0" applyNumberFormat="0" applyBorder="0" applyAlignment="0" applyProtection="0"/>
    <xf numFmtId="0" fontId="7" fillId="29" borderId="0" applyNumberFormat="0" applyBorder="0" applyAlignment="0" applyProtection="0"/>
    <xf numFmtId="0" fontId="7" fillId="33" borderId="0" applyNumberFormat="0" applyBorder="0" applyAlignment="0" applyProtection="0"/>
    <xf numFmtId="0" fontId="7" fillId="37" borderId="0" applyNumberFormat="0" applyBorder="0" applyAlignment="0" applyProtection="0"/>
    <xf numFmtId="0" fontId="7" fillId="41" borderId="0" applyNumberFormat="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20" borderId="0" applyNumberFormat="0" applyBorder="0" applyAlignment="0" applyProtection="0"/>
    <xf numFmtId="0" fontId="7" fillId="24" borderId="0" applyNumberFormat="0" applyBorder="0" applyAlignment="0" applyProtection="0"/>
    <xf numFmtId="0" fontId="7" fillId="28" borderId="0" applyNumberFormat="0" applyBorder="0" applyAlignment="0" applyProtection="0"/>
    <xf numFmtId="0" fontId="7" fillId="32" borderId="0" applyNumberFormat="0" applyBorder="0" applyAlignment="0" applyProtection="0"/>
    <xf numFmtId="0" fontId="7" fillId="36" borderId="0" applyNumberFormat="0" applyBorder="0" applyAlignment="0" applyProtection="0"/>
    <xf numFmtId="0" fontId="7" fillId="40" borderId="0" applyNumberFormat="0" applyBorder="0" applyAlignment="0" applyProtection="0"/>
    <xf numFmtId="0" fontId="7" fillId="21" borderId="0" applyNumberFormat="0" applyBorder="0" applyAlignment="0" applyProtection="0"/>
    <xf numFmtId="0" fontId="7" fillId="25" borderId="0" applyNumberFormat="0" applyBorder="0" applyAlignment="0" applyProtection="0"/>
    <xf numFmtId="0" fontId="7" fillId="29" borderId="0" applyNumberFormat="0" applyBorder="0" applyAlignment="0" applyProtection="0"/>
    <xf numFmtId="0" fontId="7" fillId="33" borderId="0" applyNumberFormat="0" applyBorder="0" applyAlignment="0" applyProtection="0"/>
    <xf numFmtId="0" fontId="7" fillId="37" borderId="0" applyNumberFormat="0" applyBorder="0" applyAlignment="0" applyProtection="0"/>
    <xf numFmtId="0" fontId="7" fillId="41" borderId="0" applyNumberFormat="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43" fontId="7" fillId="0" borderId="0" applyFont="0" applyFill="0" applyBorder="0" applyAlignment="0" applyProtection="0"/>
    <xf numFmtId="186" fontId="7" fillId="0" borderId="0" applyFont="0" applyFill="0" applyBorder="0" applyAlignment="0" applyProtection="0"/>
    <xf numFmtId="9" fontId="7" fillId="0" borderId="0" applyFont="0" applyFill="0" applyBorder="0" applyAlignment="0" applyProtection="0"/>
    <xf numFmtId="187"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9"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0" fontId="7" fillId="0" borderId="0"/>
    <xf numFmtId="0" fontId="7" fillId="0" borderId="0"/>
    <xf numFmtId="0" fontId="39" fillId="0" borderId="0" applyNumberFormat="0" applyFill="0" applyBorder="0" applyAlignment="0" applyProtection="0"/>
    <xf numFmtId="0" fontId="6" fillId="0" borderId="0"/>
    <xf numFmtId="0" fontId="6" fillId="0" borderId="0"/>
    <xf numFmtId="9" fontId="6" fillId="0" borderId="0" applyFont="0" applyFill="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40" borderId="0" applyNumberFormat="0" applyBorder="0" applyAlignment="0" applyProtection="0"/>
    <xf numFmtId="0" fontId="6" fillId="21" borderId="0" applyNumberFormat="0" applyBorder="0" applyAlignment="0" applyProtection="0"/>
    <xf numFmtId="0" fontId="6" fillId="25" borderId="0" applyNumberFormat="0" applyBorder="0" applyAlignment="0" applyProtection="0"/>
    <xf numFmtId="0" fontId="6" fillId="29" borderId="0" applyNumberFormat="0" applyBorder="0" applyAlignment="0" applyProtection="0"/>
    <xf numFmtId="0" fontId="6" fillId="33" borderId="0" applyNumberFormat="0" applyBorder="0" applyAlignment="0" applyProtection="0"/>
    <xf numFmtId="0" fontId="6" fillId="37" borderId="0" applyNumberFormat="0" applyBorder="0" applyAlignment="0" applyProtection="0"/>
    <xf numFmtId="0" fontId="6" fillId="41" borderId="0" applyNumberFormat="0" applyBorder="0" applyAlignment="0" applyProtection="0"/>
    <xf numFmtId="0" fontId="39" fillId="0" borderId="0" applyNumberForma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40" borderId="0" applyNumberFormat="0" applyBorder="0" applyAlignment="0" applyProtection="0"/>
    <xf numFmtId="0" fontId="6" fillId="21" borderId="0" applyNumberFormat="0" applyBorder="0" applyAlignment="0" applyProtection="0"/>
    <xf numFmtId="0" fontId="6" fillId="25" borderId="0" applyNumberFormat="0" applyBorder="0" applyAlignment="0" applyProtection="0"/>
    <xf numFmtId="0" fontId="6" fillId="29" borderId="0" applyNumberFormat="0" applyBorder="0" applyAlignment="0" applyProtection="0"/>
    <xf numFmtId="0" fontId="6" fillId="33" borderId="0" applyNumberFormat="0" applyBorder="0" applyAlignment="0" applyProtection="0"/>
    <xf numFmtId="0" fontId="6" fillId="37" borderId="0" applyNumberFormat="0" applyBorder="0" applyAlignment="0" applyProtection="0"/>
    <xf numFmtId="0" fontId="6" fillId="41" borderId="0" applyNumberFormat="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40" borderId="0" applyNumberFormat="0" applyBorder="0" applyAlignment="0" applyProtection="0"/>
    <xf numFmtId="0" fontId="6" fillId="21" borderId="0" applyNumberFormat="0" applyBorder="0" applyAlignment="0" applyProtection="0"/>
    <xf numFmtId="0" fontId="6" fillId="25" borderId="0" applyNumberFormat="0" applyBorder="0" applyAlignment="0" applyProtection="0"/>
    <xf numFmtId="0" fontId="6" fillId="29" borderId="0" applyNumberFormat="0" applyBorder="0" applyAlignment="0" applyProtection="0"/>
    <xf numFmtId="0" fontId="6" fillId="33" borderId="0" applyNumberFormat="0" applyBorder="0" applyAlignment="0" applyProtection="0"/>
    <xf numFmtId="0" fontId="6" fillId="37" borderId="0" applyNumberFormat="0" applyBorder="0" applyAlignment="0" applyProtection="0"/>
    <xf numFmtId="0" fontId="6" fillId="41" borderId="0" applyNumberFormat="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41" fontId="11"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186" fontId="6" fillId="0" borderId="0" applyFont="0" applyFill="0" applyBorder="0" applyAlignment="0" applyProtection="0"/>
    <xf numFmtId="9" fontId="6" fillId="0" borderId="0" applyFont="0" applyFill="0" applyBorder="0" applyAlignment="0" applyProtection="0"/>
    <xf numFmtId="187"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40" borderId="0" applyNumberFormat="0" applyBorder="0" applyAlignment="0" applyProtection="0"/>
    <xf numFmtId="0" fontId="6" fillId="21" borderId="0" applyNumberFormat="0" applyBorder="0" applyAlignment="0" applyProtection="0"/>
    <xf numFmtId="0" fontId="6" fillId="25" borderId="0" applyNumberFormat="0" applyBorder="0" applyAlignment="0" applyProtection="0"/>
    <xf numFmtId="0" fontId="6" fillId="29" borderId="0" applyNumberFormat="0" applyBorder="0" applyAlignment="0" applyProtection="0"/>
    <xf numFmtId="0" fontId="6" fillId="33" borderId="0" applyNumberFormat="0" applyBorder="0" applyAlignment="0" applyProtection="0"/>
    <xf numFmtId="0" fontId="6" fillId="37" borderId="0" applyNumberFormat="0" applyBorder="0" applyAlignment="0" applyProtection="0"/>
    <xf numFmtId="0" fontId="6" fillId="41" borderId="0" applyNumberFormat="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40" borderId="0" applyNumberFormat="0" applyBorder="0" applyAlignment="0" applyProtection="0"/>
    <xf numFmtId="0" fontId="6" fillId="21" borderId="0" applyNumberFormat="0" applyBorder="0" applyAlignment="0" applyProtection="0"/>
    <xf numFmtId="0" fontId="6" fillId="25" borderId="0" applyNumberFormat="0" applyBorder="0" applyAlignment="0" applyProtection="0"/>
    <xf numFmtId="0" fontId="6" fillId="29" borderId="0" applyNumberFormat="0" applyBorder="0" applyAlignment="0" applyProtection="0"/>
    <xf numFmtId="0" fontId="6" fillId="33" borderId="0" applyNumberFormat="0" applyBorder="0" applyAlignment="0" applyProtection="0"/>
    <xf numFmtId="0" fontId="6" fillId="37" borderId="0" applyNumberFormat="0" applyBorder="0" applyAlignment="0" applyProtection="0"/>
    <xf numFmtId="0" fontId="6" fillId="41" borderId="0" applyNumberFormat="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20" borderId="0" applyNumberFormat="0" applyBorder="0" applyAlignment="0" applyProtection="0"/>
    <xf numFmtId="0" fontId="6" fillId="24" borderId="0" applyNumberFormat="0" applyBorder="0" applyAlignment="0" applyProtection="0"/>
    <xf numFmtId="0" fontId="6" fillId="28" borderId="0" applyNumberFormat="0" applyBorder="0" applyAlignment="0" applyProtection="0"/>
    <xf numFmtId="0" fontId="6" fillId="32" borderId="0" applyNumberFormat="0" applyBorder="0" applyAlignment="0" applyProtection="0"/>
    <xf numFmtId="0" fontId="6" fillId="36" borderId="0" applyNumberFormat="0" applyBorder="0" applyAlignment="0" applyProtection="0"/>
    <xf numFmtId="0" fontId="6" fillId="40" borderId="0" applyNumberFormat="0" applyBorder="0" applyAlignment="0" applyProtection="0"/>
    <xf numFmtId="0" fontId="6" fillId="21" borderId="0" applyNumberFormat="0" applyBorder="0" applyAlignment="0" applyProtection="0"/>
    <xf numFmtId="0" fontId="6" fillId="25" borderId="0" applyNumberFormat="0" applyBorder="0" applyAlignment="0" applyProtection="0"/>
    <xf numFmtId="0" fontId="6" fillId="29" borderId="0" applyNumberFormat="0" applyBorder="0" applyAlignment="0" applyProtection="0"/>
    <xf numFmtId="0" fontId="6" fillId="33" borderId="0" applyNumberFormat="0" applyBorder="0" applyAlignment="0" applyProtection="0"/>
    <xf numFmtId="0" fontId="6" fillId="37" borderId="0" applyNumberFormat="0" applyBorder="0" applyAlignment="0" applyProtection="0"/>
    <xf numFmtId="0" fontId="6" fillId="41" borderId="0" applyNumberFormat="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192" fontId="101"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186" fontId="6" fillId="0" borderId="0" applyFont="0" applyFill="0" applyBorder="0" applyAlignment="0" applyProtection="0"/>
    <xf numFmtId="9" fontId="6" fillId="0" borderId="0" applyFont="0" applyFill="0" applyBorder="0" applyAlignment="0" applyProtection="0"/>
    <xf numFmtId="187"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9"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93" fillId="0" borderId="0"/>
    <xf numFmtId="9" fontId="93" fillId="0" borderId="0" applyFont="0" applyFill="0" applyBorder="0" applyAlignment="0" applyProtection="0"/>
    <xf numFmtId="0" fontId="11" fillId="0" borderId="0"/>
    <xf numFmtId="0" fontId="35" fillId="0" borderId="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94" fillId="0" borderId="0"/>
    <xf numFmtId="0" fontId="11" fillId="0" borderId="0"/>
    <xf numFmtId="0" fontId="11" fillId="0" borderId="0"/>
    <xf numFmtId="181" fontId="11" fillId="0" borderId="0" applyFont="0" applyFill="0" applyBorder="0" applyAlignment="0" applyProtection="0"/>
    <xf numFmtId="9" fontId="11" fillId="0" borderId="0" applyFont="0" applyFill="0" applyBorder="0" applyAlignment="0" applyProtection="0"/>
    <xf numFmtId="0" fontId="11" fillId="18" borderId="17" applyNumberFormat="0" applyFont="0" applyAlignment="0" applyProtection="0"/>
    <xf numFmtId="43" fontId="11"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3" fillId="0" borderId="0"/>
    <xf numFmtId="9" fontId="3" fillId="0" borderId="0" applyFont="0" applyFill="0" applyBorder="0" applyAlignment="0" applyProtection="0"/>
    <xf numFmtId="0" fontId="39" fillId="0" borderId="0"/>
    <xf numFmtId="0" fontId="38" fillId="0" borderId="0"/>
    <xf numFmtId="0" fontId="11" fillId="0" borderId="0"/>
    <xf numFmtId="0" fontId="11" fillId="0" borderId="0"/>
    <xf numFmtId="0" fontId="38" fillId="0" borderId="0"/>
    <xf numFmtId="0" fontId="95" fillId="0" borderId="20">
      <alignment horizontal="left" vertical="top" indent="1"/>
      <protection hidden="1"/>
    </xf>
    <xf numFmtId="0" fontId="38" fillId="0" borderId="0"/>
    <xf numFmtId="43" fontId="38" fillId="0" borderId="0" applyFont="0" applyFill="0" applyBorder="0" applyAlignment="0" applyProtection="0"/>
    <xf numFmtId="0" fontId="11" fillId="0" borderId="0"/>
    <xf numFmtId="0" fontId="26" fillId="0" borderId="0"/>
    <xf numFmtId="0" fontId="26" fillId="0" borderId="0"/>
    <xf numFmtId="0" fontId="11" fillId="0" borderId="0"/>
    <xf numFmtId="0" fontId="11" fillId="0" borderId="0"/>
    <xf numFmtId="0" fontId="11" fillId="0" borderId="0"/>
    <xf numFmtId="0" fontId="11" fillId="0" borderId="0"/>
    <xf numFmtId="0" fontId="11" fillId="0" borderId="0"/>
    <xf numFmtId="0" fontId="26" fillId="0" borderId="0"/>
    <xf numFmtId="0" fontId="26" fillId="0" borderId="0"/>
    <xf numFmtId="0" fontId="26" fillId="0" borderId="0"/>
    <xf numFmtId="0" fontId="26" fillId="0" borderId="0"/>
    <xf numFmtId="0" fontId="11" fillId="0" borderId="0"/>
    <xf numFmtId="0" fontId="2" fillId="0" borderId="0"/>
    <xf numFmtId="9" fontId="2" fillId="0" borderId="0" applyFont="0" applyFill="0" applyBorder="0" applyAlignment="0" applyProtection="0"/>
    <xf numFmtId="0" fontId="2" fillId="0" borderId="0"/>
    <xf numFmtId="41" fontId="26" fillId="0" borderId="0" applyFont="0" applyFill="0" applyBorder="0" applyAlignment="0" applyProtection="0"/>
    <xf numFmtId="0" fontId="102" fillId="0" borderId="11" applyNumberFormat="0" applyFill="0" applyAlignment="0" applyProtection="0"/>
    <xf numFmtId="0" fontId="100" fillId="48" borderId="0"/>
    <xf numFmtId="0" fontId="100" fillId="0" borderId="0">
      <alignment horizontal="right"/>
    </xf>
    <xf numFmtId="193" fontId="101" fillId="0" borderId="0"/>
    <xf numFmtId="43" fontId="1" fillId="0" borderId="0" applyFont="0" applyFill="0" applyBorder="0" applyAlignment="0" applyProtection="0"/>
    <xf numFmtId="9" fontId="1" fillId="0" borderId="0" applyFont="0" applyFill="0" applyBorder="0" applyAlignment="0" applyProtection="0"/>
    <xf numFmtId="41" fontId="1" fillId="0" borderId="0" applyFont="0" applyFill="0" applyBorder="0" applyAlignment="0" applyProtection="0"/>
  </cellStyleXfs>
  <cellXfs count="205">
    <xf numFmtId="0" fontId="0" fillId="0" borderId="0" xfId="0"/>
    <xf numFmtId="0" fontId="15" fillId="3" borderId="7" xfId="0" applyFont="1" applyFill="1" applyBorder="1"/>
    <xf numFmtId="0" fontId="16" fillId="3" borderId="0" xfId="0" applyFont="1" applyFill="1" applyAlignment="1">
      <alignment vertical="center"/>
    </xf>
    <xf numFmtId="0" fontId="15" fillId="2" borderId="0" xfId="0" applyFont="1" applyFill="1" applyAlignment="1">
      <alignment vertical="center"/>
    </xf>
    <xf numFmtId="0" fontId="15" fillId="3" borderId="0" xfId="0" applyFont="1" applyFill="1" applyAlignment="1">
      <alignment vertical="center"/>
    </xf>
    <xf numFmtId="0" fontId="19" fillId="3" borderId="0" xfId="0" applyFont="1" applyFill="1" applyAlignment="1">
      <alignment vertical="center"/>
    </xf>
    <xf numFmtId="0" fontId="20" fillId="3" borderId="0" xfId="0" applyFont="1" applyFill="1" applyAlignment="1">
      <alignment horizontal="right" vertical="center" wrapText="1"/>
    </xf>
    <xf numFmtId="0" fontId="19" fillId="3" borderId="0" xfId="0" applyFont="1" applyFill="1" applyAlignment="1">
      <alignment horizontal="left" vertical="center"/>
    </xf>
    <xf numFmtId="165" fontId="20" fillId="3" borderId="0" xfId="1" applyNumberFormat="1" applyFont="1" applyFill="1" applyAlignment="1">
      <alignment horizontal="right" vertical="center" wrapText="1"/>
    </xf>
    <xf numFmtId="168" fontId="22" fillId="4" borderId="3" xfId="0" applyNumberFormat="1" applyFont="1" applyFill="1" applyBorder="1" applyAlignment="1">
      <alignment horizontal="center" vertical="center"/>
    </xf>
    <xf numFmtId="0" fontId="19" fillId="3" borderId="7" xfId="0" applyFont="1" applyFill="1" applyBorder="1"/>
    <xf numFmtId="169" fontId="16" fillId="3" borderId="0" xfId="0" applyNumberFormat="1" applyFont="1" applyFill="1" applyAlignment="1">
      <alignment horizontal="right" vertical="center"/>
    </xf>
    <xf numFmtId="164" fontId="16" fillId="3" borderId="0" xfId="0" applyNumberFormat="1" applyFont="1" applyFill="1" applyAlignment="1">
      <alignment horizontal="right" vertical="center"/>
    </xf>
    <xf numFmtId="0" fontId="27" fillId="0" borderId="0" xfId="0" applyFont="1"/>
    <xf numFmtId="0" fontId="27" fillId="8" borderId="0" xfId="0" applyFont="1" applyFill="1"/>
    <xf numFmtId="0" fontId="30" fillId="8" borderId="0" xfId="0" applyFont="1" applyFill="1" applyAlignment="1">
      <alignment horizontal="center"/>
    </xf>
    <xf numFmtId="0" fontId="19" fillId="4" borderId="2" xfId="0" applyFont="1" applyFill="1" applyBorder="1"/>
    <xf numFmtId="0" fontId="19" fillId="4" borderId="3" xfId="0" applyFont="1" applyFill="1" applyBorder="1" applyAlignment="1">
      <alignment vertical="center"/>
    </xf>
    <xf numFmtId="168" fontId="15" fillId="4" borderId="4" xfId="0" applyNumberFormat="1" applyFont="1" applyFill="1" applyBorder="1" applyAlignment="1">
      <alignment horizontal="center" vertical="center"/>
    </xf>
    <xf numFmtId="0" fontId="19" fillId="3" borderId="0" xfId="0" applyFont="1" applyFill="1"/>
    <xf numFmtId="0" fontId="34" fillId="3" borderId="0" xfId="0" applyFont="1" applyFill="1" applyAlignment="1">
      <alignment horizontal="center" vertical="center"/>
    </xf>
    <xf numFmtId="0" fontId="31" fillId="0" borderId="0" xfId="0" applyFont="1"/>
    <xf numFmtId="0" fontId="40" fillId="0" borderId="0" xfId="0" applyFont="1"/>
    <xf numFmtId="0" fontId="40" fillId="0" borderId="0" xfId="0" applyFont="1" applyAlignment="1">
      <alignment horizontal="right"/>
    </xf>
    <xf numFmtId="0" fontId="41" fillId="4" borderId="0" xfId="0" applyFont="1" applyFill="1"/>
    <xf numFmtId="0" fontId="42" fillId="0" borderId="0" xfId="0" applyFont="1" applyAlignment="1">
      <alignment vertical="center"/>
    </xf>
    <xf numFmtId="17" fontId="41" fillId="4" borderId="0" xfId="0" applyNumberFormat="1" applyFont="1" applyFill="1"/>
    <xf numFmtId="17" fontId="41" fillId="7" borderId="0" xfId="0" applyNumberFormat="1" applyFont="1" applyFill="1"/>
    <xf numFmtId="3" fontId="43" fillId="8" borderId="0" xfId="2" applyNumberFormat="1" applyFont="1" applyFill="1"/>
    <xf numFmtId="0" fontId="44" fillId="0" borderId="0" xfId="0" applyFont="1" applyAlignment="1">
      <alignment vertical="center"/>
    </xf>
    <xf numFmtId="3" fontId="42" fillId="0" borderId="0" xfId="2" applyNumberFormat="1" applyFont="1" applyFill="1"/>
    <xf numFmtId="3" fontId="45" fillId="8" borderId="0" xfId="2" applyNumberFormat="1" applyFont="1" applyFill="1"/>
    <xf numFmtId="0" fontId="46" fillId="0" borderId="0" xfId="0" applyFont="1" applyAlignment="1">
      <alignment horizontal="left" vertical="center"/>
    </xf>
    <xf numFmtId="172" fontId="46" fillId="0" borderId="0" xfId="3" applyNumberFormat="1" applyFont="1" applyFill="1"/>
    <xf numFmtId="37" fontId="45" fillId="8" borderId="0" xfId="2" applyNumberFormat="1" applyFont="1" applyFill="1"/>
    <xf numFmtId="0" fontId="31" fillId="0" borderId="0" xfId="0" applyFont="1" applyAlignment="1">
      <alignment horizontal="left" vertical="center"/>
    </xf>
    <xf numFmtId="37" fontId="42" fillId="0" borderId="0" xfId="2" applyNumberFormat="1" applyFont="1" applyFill="1"/>
    <xf numFmtId="0" fontId="31" fillId="0" borderId="0" xfId="0" applyFont="1" applyAlignment="1">
      <alignment horizontal="left" vertical="center" indent="1"/>
    </xf>
    <xf numFmtId="37" fontId="43" fillId="8" borderId="0" xfId="2" applyNumberFormat="1" applyFont="1" applyFill="1"/>
    <xf numFmtId="171" fontId="31" fillId="0" borderId="0" xfId="0" applyNumberFormat="1" applyFont="1"/>
    <xf numFmtId="0" fontId="44" fillId="0" borderId="0" xfId="0" applyFont="1"/>
    <xf numFmtId="3" fontId="31" fillId="0" borderId="0" xfId="0" applyNumberFormat="1" applyFont="1"/>
    <xf numFmtId="3" fontId="44" fillId="0" borderId="0" xfId="0" applyNumberFormat="1" applyFont="1"/>
    <xf numFmtId="3" fontId="50" fillId="0" borderId="0" xfId="0" applyNumberFormat="1" applyFont="1"/>
    <xf numFmtId="0" fontId="42" fillId="0" borderId="0" xfId="0" applyFont="1"/>
    <xf numFmtId="0" fontId="23" fillId="3" borderId="8" xfId="0" applyFont="1" applyFill="1" applyBorder="1"/>
    <xf numFmtId="0" fontId="24" fillId="3" borderId="0" xfId="0" applyFont="1" applyFill="1" applyAlignment="1">
      <alignment horizontal="left" vertical="center"/>
    </xf>
    <xf numFmtId="0" fontId="25" fillId="3" borderId="0" xfId="0" applyFont="1" applyFill="1" applyAlignment="1">
      <alignment horizontal="left" vertical="center"/>
    </xf>
    <xf numFmtId="0" fontId="15" fillId="3" borderId="0" xfId="0" applyFont="1" applyFill="1" applyAlignment="1">
      <alignment horizontal="right" vertical="center"/>
    </xf>
    <xf numFmtId="0" fontId="15" fillId="3" borderId="8" xfId="0" applyFont="1" applyFill="1" applyBorder="1"/>
    <xf numFmtId="0" fontId="51" fillId="3" borderId="0" xfId="0" applyFont="1" applyFill="1" applyAlignment="1">
      <alignment horizontal="right" vertical="center"/>
    </xf>
    <xf numFmtId="0" fontId="19" fillId="3" borderId="8" xfId="0" applyFont="1" applyFill="1" applyBorder="1"/>
    <xf numFmtId="0" fontId="21" fillId="3" borderId="8" xfId="0" applyFont="1" applyFill="1" applyBorder="1"/>
    <xf numFmtId="0" fontId="19" fillId="3" borderId="1" xfId="0" applyFont="1" applyFill="1" applyBorder="1" applyAlignment="1">
      <alignment horizontal="left" vertical="center"/>
    </xf>
    <xf numFmtId="170" fontId="20" fillId="3" borderId="1" xfId="1" applyNumberFormat="1" applyFont="1" applyFill="1" applyBorder="1" applyAlignment="1">
      <alignment horizontal="right" vertical="center"/>
    </xf>
    <xf numFmtId="166" fontId="20" fillId="3" borderId="1" xfId="1" applyNumberFormat="1" applyFont="1" applyFill="1" applyBorder="1" applyAlignment="1">
      <alignment horizontal="right" vertical="center"/>
    </xf>
    <xf numFmtId="0" fontId="34" fillId="3" borderId="7" xfId="0" applyFont="1" applyFill="1" applyBorder="1"/>
    <xf numFmtId="0" fontId="11" fillId="3" borderId="8" xfId="0" applyFont="1" applyFill="1" applyBorder="1"/>
    <xf numFmtId="0" fontId="18" fillId="3" borderId="8" xfId="0" applyFont="1" applyFill="1" applyBorder="1"/>
    <xf numFmtId="0" fontId="49" fillId="0" borderId="0" xfId="0" applyFont="1"/>
    <xf numFmtId="3" fontId="49" fillId="0" borderId="0" xfId="0" applyNumberFormat="1" applyFont="1"/>
    <xf numFmtId="3" fontId="48" fillId="0" borderId="0" xfId="0" applyNumberFormat="1" applyFont="1"/>
    <xf numFmtId="0" fontId="33" fillId="4" borderId="0" xfId="0" applyFont="1" applyFill="1" applyAlignment="1">
      <alignment horizontal="center" vertical="center"/>
    </xf>
    <xf numFmtId="0" fontId="31" fillId="0" borderId="0" xfId="0" applyFont="1" applyAlignment="1">
      <alignment horizontal="left" indent="1"/>
    </xf>
    <xf numFmtId="0" fontId="44" fillId="0" borderId="9" xfId="0" applyFont="1" applyBorder="1"/>
    <xf numFmtId="0" fontId="48" fillId="0" borderId="0" xfId="0" applyFont="1"/>
    <xf numFmtId="37" fontId="31" fillId="0" borderId="0" xfId="0" applyNumberFormat="1" applyFont="1"/>
    <xf numFmtId="0" fontId="56" fillId="9" borderId="7" xfId="0" applyFont="1" applyFill="1" applyBorder="1"/>
    <xf numFmtId="0" fontId="17" fillId="9" borderId="8" xfId="0" applyFont="1" applyFill="1" applyBorder="1"/>
    <xf numFmtId="0" fontId="31" fillId="0" borderId="0" xfId="0" applyFont="1" applyAlignment="1">
      <alignment horizontal="right"/>
    </xf>
    <xf numFmtId="3" fontId="44" fillId="0" borderId="9" xfId="0" applyNumberFormat="1" applyFont="1" applyBorder="1"/>
    <xf numFmtId="3" fontId="44" fillId="0" borderId="9" xfId="0" applyNumberFormat="1" applyFont="1" applyBorder="1" applyAlignment="1">
      <alignment horizontal="right"/>
    </xf>
    <xf numFmtId="1" fontId="44" fillId="0" borderId="0" xfId="0" applyNumberFormat="1" applyFont="1"/>
    <xf numFmtId="180" fontId="45" fillId="8" borderId="0" xfId="2" applyNumberFormat="1" applyFont="1" applyFill="1"/>
    <xf numFmtId="180" fontId="45" fillId="0" borderId="0" xfId="2" applyNumberFormat="1" applyFont="1" applyFill="1"/>
    <xf numFmtId="37" fontId="31" fillId="8" borderId="0" xfId="2" applyNumberFormat="1" applyFont="1" applyFill="1"/>
    <xf numFmtId="3" fontId="44" fillId="0" borderId="0" xfId="2" applyNumberFormat="1" applyFont="1" applyFill="1"/>
    <xf numFmtId="2" fontId="33" fillId="4" borderId="0" xfId="0" applyNumberFormat="1" applyFont="1" applyFill="1" applyAlignment="1">
      <alignment horizontal="centerContinuous" vertical="center"/>
    </xf>
    <xf numFmtId="0" fontId="33" fillId="4" borderId="0" xfId="0" applyFont="1" applyFill="1" applyAlignment="1">
      <alignment horizontal="centerContinuous" vertical="center"/>
    </xf>
    <xf numFmtId="0" fontId="56" fillId="12" borderId="0" xfId="0" applyFont="1" applyFill="1"/>
    <xf numFmtId="0" fontId="57" fillId="9" borderId="7" xfId="0" applyFont="1" applyFill="1" applyBorder="1"/>
    <xf numFmtId="0" fontId="57" fillId="9" borderId="8" xfId="0" applyFont="1" applyFill="1" applyBorder="1"/>
    <xf numFmtId="0" fontId="56" fillId="12" borderId="8" xfId="0" applyFont="1" applyFill="1" applyBorder="1"/>
    <xf numFmtId="0" fontId="32" fillId="3" borderId="0" xfId="0" applyFont="1" applyFill="1"/>
    <xf numFmtId="0" fontId="62" fillId="12" borderId="0" xfId="0" applyFont="1" applyFill="1"/>
    <xf numFmtId="0" fontId="56" fillId="12" borderId="7" xfId="0" applyFont="1" applyFill="1" applyBorder="1"/>
    <xf numFmtId="0" fontId="15" fillId="3" borderId="0" xfId="0" applyFont="1" applyFill="1"/>
    <xf numFmtId="0" fontId="52" fillId="3" borderId="0" xfId="0" applyFont="1" applyFill="1" applyAlignment="1">
      <alignment horizontal="left" vertical="center"/>
    </xf>
    <xf numFmtId="0" fontId="53" fillId="3" borderId="0" xfId="0" applyFont="1" applyFill="1"/>
    <xf numFmtId="164" fontId="20" fillId="3" borderId="0" xfId="0" applyNumberFormat="1" applyFont="1" applyFill="1" applyAlignment="1">
      <alignment horizontal="right" vertical="center"/>
    </xf>
    <xf numFmtId="166" fontId="20" fillId="3" borderId="0" xfId="1" applyNumberFormat="1" applyFont="1" applyFill="1" applyAlignment="1">
      <alignment horizontal="right" vertical="center"/>
    </xf>
    <xf numFmtId="0" fontId="56" fillId="9" borderId="0" xfId="0" applyFont="1" applyFill="1" applyAlignment="1">
      <alignment horizontal="left" vertical="center"/>
    </xf>
    <xf numFmtId="167" fontId="17" fillId="9" borderId="0" xfId="1" applyNumberFormat="1" applyFont="1" applyFill="1" applyAlignment="1">
      <alignment horizontal="right" vertical="center" wrapText="1"/>
    </xf>
    <xf numFmtId="0" fontId="17" fillId="9" borderId="0" xfId="0" applyFont="1" applyFill="1" applyAlignment="1">
      <alignment horizontal="right" vertical="center" wrapText="1"/>
    </xf>
    <xf numFmtId="165" fontId="17" fillId="9" borderId="0" xfId="1" applyNumberFormat="1" applyFont="1" applyFill="1" applyAlignment="1">
      <alignment horizontal="right" vertical="center" wrapText="1"/>
    </xf>
    <xf numFmtId="0" fontId="19" fillId="3" borderId="5" xfId="0" applyFont="1" applyFill="1" applyBorder="1"/>
    <xf numFmtId="0" fontId="19" fillId="3" borderId="1" xfId="0" applyFont="1" applyFill="1" applyBorder="1"/>
    <xf numFmtId="3" fontId="19" fillId="3" borderId="1" xfId="0" applyNumberFormat="1" applyFont="1" applyFill="1" applyBorder="1"/>
    <xf numFmtId="0" fontId="19" fillId="3" borderId="6" xfId="0" applyFont="1" applyFill="1" applyBorder="1"/>
    <xf numFmtId="9" fontId="31" fillId="0" borderId="0" xfId="3" applyFont="1"/>
    <xf numFmtId="9" fontId="31" fillId="0" borderId="0" xfId="0" applyNumberFormat="1" applyFont="1"/>
    <xf numFmtId="1" fontId="31" fillId="0" borderId="0" xfId="0" applyNumberFormat="1" applyFont="1"/>
    <xf numFmtId="9" fontId="31" fillId="0" borderId="0" xfId="3" applyFont="1" applyFill="1"/>
    <xf numFmtId="0" fontId="61" fillId="9" borderId="7" xfId="0" applyFont="1" applyFill="1" applyBorder="1"/>
    <xf numFmtId="0" fontId="18" fillId="9" borderId="8" xfId="0" applyFont="1" applyFill="1" applyBorder="1"/>
    <xf numFmtId="176" fontId="31" fillId="0" borderId="0" xfId="0" applyNumberFormat="1" applyFont="1"/>
    <xf numFmtId="166" fontId="77" fillId="3" borderId="0" xfId="1" applyNumberFormat="1" applyFont="1" applyFill="1" applyAlignment="1">
      <alignment horizontal="right" vertical="center"/>
    </xf>
    <xf numFmtId="185" fontId="59" fillId="0" borderId="0" xfId="0" applyNumberFormat="1" applyFont="1"/>
    <xf numFmtId="9" fontId="56" fillId="12" borderId="0" xfId="0" applyNumberFormat="1" applyFont="1" applyFill="1" applyAlignment="1">
      <alignment horizontal="right"/>
    </xf>
    <xf numFmtId="164" fontId="77" fillId="3" borderId="0" xfId="0" applyNumberFormat="1" applyFont="1" applyFill="1" applyAlignment="1">
      <alignment horizontal="right" vertical="center"/>
    </xf>
    <xf numFmtId="2" fontId="31" fillId="0" borderId="0" xfId="0" applyNumberFormat="1" applyFont="1"/>
    <xf numFmtId="175" fontId="31" fillId="0" borderId="0" xfId="0" applyNumberFormat="1" applyFont="1"/>
    <xf numFmtId="173" fontId="19" fillId="3" borderId="7" xfId="0" applyNumberFormat="1" applyFont="1" applyFill="1" applyBorder="1"/>
    <xf numFmtId="173" fontId="20" fillId="3" borderId="0" xfId="0" applyNumberFormat="1" applyFont="1" applyFill="1" applyAlignment="1">
      <alignment vertical="center"/>
    </xf>
    <xf numFmtId="173" fontId="15" fillId="3" borderId="7" xfId="0" applyNumberFormat="1" applyFont="1" applyFill="1" applyBorder="1"/>
    <xf numFmtId="173" fontId="15" fillId="2" borderId="0" xfId="0" applyNumberFormat="1" applyFont="1" applyFill="1" applyAlignment="1">
      <alignment vertical="center"/>
    </xf>
    <xf numFmtId="173" fontId="15" fillId="3" borderId="0" xfId="0" applyNumberFormat="1" applyFont="1" applyFill="1" applyAlignment="1">
      <alignment vertical="center"/>
    </xf>
    <xf numFmtId="173" fontId="19" fillId="3" borderId="0" xfId="0" applyNumberFormat="1" applyFont="1" applyFill="1" applyAlignment="1">
      <alignment vertical="center"/>
    </xf>
    <xf numFmtId="173" fontId="19" fillId="3" borderId="0" xfId="0" applyNumberFormat="1" applyFont="1" applyFill="1" applyAlignment="1">
      <alignment horizontal="left" vertical="center"/>
    </xf>
    <xf numFmtId="0" fontId="96" fillId="0" borderId="0" xfId="0" applyFont="1"/>
    <xf numFmtId="3" fontId="97" fillId="0" borderId="0" xfId="0" applyNumberFormat="1" applyFont="1"/>
    <xf numFmtId="0" fontId="19" fillId="4" borderId="4" xfId="0" applyFont="1" applyFill="1" applyBorder="1" applyAlignment="1">
      <alignment vertical="center"/>
    </xf>
    <xf numFmtId="168" fontId="15" fillId="3" borderId="9" xfId="0" applyNumberFormat="1" applyFont="1" applyFill="1" applyBorder="1" applyAlignment="1">
      <alignment vertical="center"/>
    </xf>
    <xf numFmtId="9" fontId="20" fillId="3" borderId="0" xfId="1" applyNumberFormat="1" applyFont="1" applyFill="1" applyAlignment="1">
      <alignment horizontal="right" vertical="center"/>
    </xf>
    <xf numFmtId="0" fontId="44" fillId="0" borderId="0" xfId="0" applyFont="1" applyAlignment="1">
      <alignment horizontal="left" vertical="center"/>
    </xf>
    <xf numFmtId="37" fontId="44" fillId="0" borderId="0" xfId="0" applyNumberFormat="1" applyFont="1"/>
    <xf numFmtId="37" fontId="20" fillId="3" borderId="0" xfId="0" applyNumberFormat="1" applyFont="1" applyFill="1" applyAlignment="1">
      <alignment horizontal="right" vertical="center"/>
    </xf>
    <xf numFmtId="172" fontId="46" fillId="0" borderId="0" xfId="3" applyNumberFormat="1" applyFont="1"/>
    <xf numFmtId="37" fontId="42" fillId="0" borderId="0" xfId="2" applyNumberFormat="1" applyFont="1"/>
    <xf numFmtId="3" fontId="46" fillId="0" borderId="0" xfId="0" applyNumberFormat="1" applyFont="1"/>
    <xf numFmtId="3" fontId="98" fillId="0" borderId="0" xfId="0" applyNumberFormat="1" applyFont="1"/>
    <xf numFmtId="0" fontId="99" fillId="12" borderId="1" xfId="0" applyFont="1" applyFill="1" applyBorder="1"/>
    <xf numFmtId="177" fontId="40" fillId="0" borderId="0" xfId="0" applyNumberFormat="1" applyFont="1" applyAlignment="1">
      <alignment horizontal="right"/>
    </xf>
    <xf numFmtId="0" fontId="19" fillId="3" borderId="9" xfId="0" applyFont="1" applyFill="1" applyBorder="1" applyAlignment="1">
      <alignment vertical="center"/>
    </xf>
    <xf numFmtId="41" fontId="31" fillId="0" borderId="0" xfId="2169" applyFont="1"/>
    <xf numFmtId="166" fontId="18" fillId="2" borderId="0" xfId="3" applyNumberFormat="1" applyFont="1" applyFill="1" applyBorder="1" applyAlignment="1">
      <alignment horizontal="right" vertical="center"/>
    </xf>
    <xf numFmtId="180" fontId="18" fillId="2" borderId="0" xfId="0" applyNumberFormat="1" applyFont="1" applyFill="1" applyAlignment="1">
      <alignment horizontal="right" vertical="center"/>
    </xf>
    <xf numFmtId="180" fontId="20" fillId="3" borderId="0" xfId="0" applyNumberFormat="1" applyFont="1" applyFill="1" applyAlignment="1">
      <alignment horizontal="right" vertical="center"/>
    </xf>
    <xf numFmtId="166" fontId="20" fillId="0" borderId="0" xfId="3" applyNumberFormat="1" applyFont="1" applyFill="1" applyBorder="1" applyAlignment="1">
      <alignment horizontal="right" vertical="center"/>
    </xf>
    <xf numFmtId="37" fontId="18" fillId="3" borderId="0" xfId="0" applyNumberFormat="1" applyFont="1" applyFill="1" applyAlignment="1">
      <alignment horizontal="right" vertical="center" wrapText="1"/>
    </xf>
    <xf numFmtId="37" fontId="18" fillId="3" borderId="0" xfId="1" applyNumberFormat="1" applyFont="1" applyFill="1" applyAlignment="1">
      <alignment horizontal="right" vertical="center" wrapText="1"/>
    </xf>
    <xf numFmtId="37" fontId="20" fillId="3" borderId="0" xfId="0" applyNumberFormat="1" applyFont="1" applyFill="1" applyAlignment="1">
      <alignment horizontal="right" vertical="center" wrapText="1"/>
    </xf>
    <xf numFmtId="37" fontId="20" fillId="3" borderId="0" xfId="1" applyNumberFormat="1" applyFont="1" applyFill="1" applyAlignment="1">
      <alignment horizontal="right" vertical="center" wrapText="1"/>
    </xf>
    <xf numFmtId="9" fontId="20" fillId="0" borderId="0" xfId="0" applyNumberFormat="1" applyFont="1" applyAlignment="1">
      <alignment horizontal="right" vertical="center" wrapText="1"/>
    </xf>
    <xf numFmtId="9" fontId="20" fillId="0" borderId="0" xfId="0" applyNumberFormat="1" applyFont="1" applyAlignment="1">
      <alignment horizontal="right" vertical="center"/>
    </xf>
    <xf numFmtId="9" fontId="20" fillId="0" borderId="0" xfId="1" applyNumberFormat="1" applyFont="1" applyAlignment="1">
      <alignment horizontal="right" vertical="center" wrapText="1"/>
    </xf>
    <xf numFmtId="172" fontId="20" fillId="3" borderId="0" xfId="0" applyNumberFormat="1" applyFont="1" applyFill="1" applyAlignment="1">
      <alignment horizontal="right" vertical="center" wrapText="1"/>
    </xf>
    <xf numFmtId="172" fontId="20" fillId="3" borderId="0" xfId="1" applyNumberFormat="1" applyFont="1" applyFill="1" applyAlignment="1">
      <alignment horizontal="right" vertical="center" wrapText="1"/>
    </xf>
    <xf numFmtId="171" fontId="31" fillId="0" borderId="0" xfId="0" applyNumberFormat="1" applyFont="1" applyAlignment="1">
      <alignment horizontal="right"/>
    </xf>
    <xf numFmtId="0" fontId="19" fillId="0" borderId="0" xfId="0" applyFont="1"/>
    <xf numFmtId="0" fontId="23" fillId="0" borderId="0" xfId="0" applyFont="1"/>
    <xf numFmtId="0" fontId="15" fillId="0" borderId="0" xfId="0" applyFont="1"/>
    <xf numFmtId="1" fontId="15" fillId="0" borderId="0" xfId="0" applyNumberFormat="1" applyFont="1"/>
    <xf numFmtId="1" fontId="19" fillId="0" borderId="0" xfId="0" applyNumberFormat="1" applyFont="1"/>
    <xf numFmtId="0" fontId="34" fillId="0" borderId="0" xfId="0" applyFont="1"/>
    <xf numFmtId="1" fontId="34" fillId="0" borderId="0" xfId="0" applyNumberFormat="1" applyFont="1"/>
    <xf numFmtId="0" fontId="20" fillId="0" borderId="0" xfId="0" applyFont="1"/>
    <xf numFmtId="3" fontId="19" fillId="0" borderId="0" xfId="0" applyNumberFormat="1" applyFont="1"/>
    <xf numFmtId="0" fontId="58" fillId="0" borderId="19" xfId="0" applyFont="1" applyBorder="1" applyAlignment="1">
      <alignment horizontal="center"/>
    </xf>
    <xf numFmtId="0" fontId="19" fillId="0" borderId="0" xfId="0" applyFont="1" applyAlignment="1">
      <alignment horizontal="center"/>
    </xf>
    <xf numFmtId="175" fontId="19" fillId="0" borderId="0" xfId="0" applyNumberFormat="1" applyFont="1"/>
    <xf numFmtId="0" fontId="18" fillId="0" borderId="0" xfId="0" applyFont="1"/>
    <xf numFmtId="0" fontId="32" fillId="0" borderId="0" xfId="0" applyFont="1"/>
    <xf numFmtId="184" fontId="19" fillId="0" borderId="0" xfId="0" applyNumberFormat="1" applyFont="1"/>
    <xf numFmtId="9" fontId="19" fillId="0" borderId="0" xfId="3" applyFont="1" applyFill="1"/>
    <xf numFmtId="188" fontId="19" fillId="0" borderId="0" xfId="0" applyNumberFormat="1" applyFont="1"/>
    <xf numFmtId="172" fontId="31" fillId="0" borderId="0" xfId="3" applyNumberFormat="1" applyFont="1"/>
    <xf numFmtId="176" fontId="98" fillId="0" borderId="0" xfId="0" applyNumberFormat="1" applyFont="1"/>
    <xf numFmtId="41" fontId="19" fillId="0" borderId="0" xfId="2169" applyFont="1"/>
    <xf numFmtId="9" fontId="52" fillId="3" borderId="0" xfId="0" applyNumberFormat="1" applyFont="1" applyFill="1" applyAlignment="1">
      <alignment horizontal="left" vertical="center"/>
    </xf>
    <xf numFmtId="41" fontId="20" fillId="3" borderId="0" xfId="2169" applyFont="1" applyFill="1" applyAlignment="1">
      <alignment horizontal="right" vertical="center"/>
    </xf>
    <xf numFmtId="41" fontId="43" fillId="8" borderId="0" xfId="2169" applyFont="1" applyFill="1"/>
    <xf numFmtId="189" fontId="20" fillId="3" borderId="0" xfId="2169" applyNumberFormat="1" applyFont="1" applyFill="1" applyAlignment="1">
      <alignment horizontal="right" vertical="center"/>
    </xf>
    <xf numFmtId="41" fontId="15" fillId="0" borderId="0" xfId="2169" applyFont="1"/>
    <xf numFmtId="41" fontId="15" fillId="3" borderId="7" xfId="2169" applyFont="1" applyFill="1" applyBorder="1"/>
    <xf numFmtId="41" fontId="16" fillId="3" borderId="0" xfId="2169" applyFont="1" applyFill="1"/>
    <xf numFmtId="41" fontId="16" fillId="3" borderId="0" xfId="2169" applyFont="1" applyFill="1" applyAlignment="1">
      <alignment vertical="center"/>
    </xf>
    <xf numFmtId="41" fontId="16" fillId="3" borderId="0" xfId="2169" applyFont="1" applyFill="1" applyAlignment="1">
      <alignment horizontal="right" vertical="center"/>
    </xf>
    <xf numFmtId="41" fontId="15" fillId="3" borderId="8" xfId="2169" applyFont="1" applyFill="1" applyBorder="1"/>
    <xf numFmtId="41" fontId="13" fillId="3" borderId="7" xfId="2169" applyFont="1" applyFill="1" applyBorder="1"/>
    <xf numFmtId="41" fontId="14" fillId="3" borderId="0" xfId="2169" applyFont="1" applyFill="1"/>
    <xf numFmtId="41" fontId="14" fillId="3" borderId="0" xfId="2169" applyFont="1" applyFill="1" applyAlignment="1">
      <alignment vertical="center"/>
    </xf>
    <xf numFmtId="41" fontId="54" fillId="3" borderId="0" xfId="2169" applyFont="1" applyFill="1" applyAlignment="1">
      <alignment horizontal="right"/>
    </xf>
    <xf numFmtId="41" fontId="36" fillId="3" borderId="0" xfId="2169" applyFont="1" applyFill="1" applyAlignment="1">
      <alignment horizontal="right"/>
    </xf>
    <xf numFmtId="41" fontId="37" fillId="3" borderId="0" xfId="2169" applyFont="1" applyFill="1" applyAlignment="1">
      <alignment horizontal="right" vertical="center"/>
    </xf>
    <xf numFmtId="41" fontId="14" fillId="3" borderId="0" xfId="2169" applyFont="1" applyFill="1" applyAlignment="1">
      <alignment horizontal="right" vertical="center"/>
    </xf>
    <xf numFmtId="41" fontId="13" fillId="3" borderId="8" xfId="2169" applyFont="1" applyFill="1" applyBorder="1"/>
    <xf numFmtId="41" fontId="13" fillId="0" borderId="0" xfId="2169" applyFont="1"/>
    <xf numFmtId="41" fontId="16" fillId="3" borderId="1" xfId="2169" applyFont="1" applyFill="1" applyBorder="1" applyAlignment="1">
      <alignment vertical="center"/>
    </xf>
    <xf numFmtId="41" fontId="16" fillId="3" borderId="1" xfId="2169" applyFont="1" applyFill="1" applyBorder="1" applyAlignment="1">
      <alignment horizontal="right" vertical="center"/>
    </xf>
    <xf numFmtId="41" fontId="53" fillId="3" borderId="0" xfId="2169" applyFont="1" applyFill="1"/>
    <xf numFmtId="195" fontId="45" fillId="8" borderId="0" xfId="2" applyNumberFormat="1" applyFont="1" applyFill="1"/>
    <xf numFmtId="0" fontId="109" fillId="0" borderId="0" xfId="0" applyFont="1"/>
    <xf numFmtId="41" fontId="44" fillId="0" borderId="0" xfId="2169" applyFont="1"/>
    <xf numFmtId="41" fontId="43" fillId="8" borderId="0" xfId="2" applyNumberFormat="1" applyFont="1" applyFill="1"/>
    <xf numFmtId="37" fontId="44" fillId="49" borderId="0" xfId="0" applyNumberFormat="1" applyFont="1" applyFill="1"/>
    <xf numFmtId="0" fontId="59" fillId="0" borderId="0" xfId="0" applyFont="1"/>
    <xf numFmtId="37" fontId="110" fillId="0" borderId="0" xfId="0" applyNumberFormat="1" applyFont="1"/>
    <xf numFmtId="177" fontId="41" fillId="5" borderId="0" xfId="0" applyNumberFormat="1" applyFont="1" applyFill="1" applyAlignment="1">
      <alignment horizontal="center"/>
    </xf>
    <xf numFmtId="177" fontId="41" fillId="6" borderId="0" xfId="0" applyNumberFormat="1" applyFont="1" applyFill="1" applyAlignment="1">
      <alignment horizontal="center"/>
    </xf>
    <xf numFmtId="0" fontId="33" fillId="4" borderId="0" xfId="0" applyFont="1" applyFill="1" applyAlignment="1">
      <alignment horizontal="center" vertical="center"/>
    </xf>
    <xf numFmtId="177" fontId="41" fillId="45" borderId="0" xfId="0" applyNumberFormat="1" applyFont="1" applyFill="1" applyAlignment="1">
      <alignment horizontal="center"/>
    </xf>
    <xf numFmtId="177" fontId="41" fillId="46" borderId="0" xfId="0" applyNumberFormat="1" applyFont="1" applyFill="1" applyAlignment="1">
      <alignment horizontal="center"/>
    </xf>
    <xf numFmtId="177" fontId="41" fillId="44" borderId="0" xfId="0" applyNumberFormat="1" applyFont="1" applyFill="1" applyAlignment="1">
      <alignment horizontal="center"/>
    </xf>
    <xf numFmtId="177" fontId="41" fillId="47" borderId="0" xfId="0" applyNumberFormat="1" applyFont="1" applyFill="1" applyAlignment="1">
      <alignment horizontal="center"/>
    </xf>
  </cellXfs>
  <cellStyles count="2177">
    <cellStyle name="20 % – Zvýraznění1 2" xfId="160" xr:uid="{D5A15916-7609-44FB-881D-20EB82BF2756}"/>
    <cellStyle name="20 % – Zvýraznění1 2 2" xfId="377" xr:uid="{AC808D42-09CC-48E1-BE0B-4C6872B8AA26}"/>
    <cellStyle name="20 % – Zvýraznění1 2 2 2" xfId="799" xr:uid="{BFE26680-9416-413C-9F63-A011C4C2F699}"/>
    <cellStyle name="20 % – Zvýraznění1 2 2 3" xfId="1556" xr:uid="{BAF0EF5A-7420-49AA-9C45-9036BBC8EE37}"/>
    <cellStyle name="20 % – Zvýraznění1 2 2 4" xfId="1974" xr:uid="{C6F62456-0E10-496A-9F8B-88611F3BB10A}"/>
    <cellStyle name="20 % – Zvýraznění1 2 2_HEU_act" xfId="947" xr:uid="{8D8A6BA8-041E-4F0D-B502-F7B44F4D0950}"/>
    <cellStyle name="20 % – Zvýraznění1 2 3" xfId="591" xr:uid="{33001D58-4F0F-4286-90C5-DA0F4B3025AC}"/>
    <cellStyle name="20 % – Zvýraznění1 2 4" xfId="1348" xr:uid="{9B36EF1C-0B3E-4E42-9FE7-A034922037DA}"/>
    <cellStyle name="20 % – Zvýraznění1 2 5" xfId="1766" xr:uid="{AFCEFB08-3378-44E8-8446-31AD19879E31}"/>
    <cellStyle name="20 % – Zvýraznění1 2_HEU_act" xfId="946" xr:uid="{3C450F34-FEB6-47B7-ADE6-D8E125748E1A}"/>
    <cellStyle name="20 % – Zvýraznění1 3" xfId="221" xr:uid="{DE376204-5DBA-4F59-8B08-44D389C11FD6}"/>
    <cellStyle name="20 % – Zvýraznění1 3 2" xfId="438" xr:uid="{691E12E5-31AB-432D-821A-9A80B8607A64}"/>
    <cellStyle name="20 % – Zvýraznění1 3 2 2" xfId="860" xr:uid="{8782E370-335F-40D1-87FF-5552C3AFE591}"/>
    <cellStyle name="20 % – Zvýraznění1 3 2 3" xfId="1617" xr:uid="{17ED4EB5-72D9-4B01-8BD4-25D390B7C7DE}"/>
    <cellStyle name="20 % – Zvýraznění1 3 2 4" xfId="2035" xr:uid="{7F13601F-A8D5-44DF-B681-9778241CE2C8}"/>
    <cellStyle name="20 % – Zvýraznění1 3 2_HEU_act" xfId="948" xr:uid="{78B4E2C7-8A58-40A4-90DE-3A944C7F4EC8}"/>
    <cellStyle name="20 % – Zvýraznění1 3 3" xfId="652" xr:uid="{0E82BA0D-25DE-406E-8DA1-EDD29514C843}"/>
    <cellStyle name="20 % – Zvýraznění1 3 4" xfId="1409" xr:uid="{83D17F77-DF07-4384-BE7E-BE730C02C4F4}"/>
    <cellStyle name="20 % – Zvýraznění1 3 5" xfId="1827" xr:uid="{C1FC7DC9-43D5-4CD2-9243-B5BA112B6416}"/>
    <cellStyle name="20 % – Zvýraznění1 4" xfId="316" xr:uid="{528A32A2-E88E-4419-9146-64725430DEF1}"/>
    <cellStyle name="20 % – Zvýraznění1 4 2" xfId="738" xr:uid="{94362B2C-EAC5-40C8-B49A-115E35B01A04}"/>
    <cellStyle name="20 % – Zvýraznění1 4 3" xfId="1495" xr:uid="{A8DFA5B1-786F-4D6A-8BA5-5AD76D6D3CBA}"/>
    <cellStyle name="20 % – Zvýraznění1 4 4" xfId="1913" xr:uid="{9B179479-D7DF-45AA-AE5B-25D17AC86C8E}"/>
    <cellStyle name="20 % – Zvýraznění1 4_HEU_act" xfId="949" xr:uid="{00B000C0-9AD4-4B03-8F2F-5E7FE1F6E077}"/>
    <cellStyle name="20 % – Zvýraznění1 5" xfId="530" xr:uid="{EAE60CF1-B6F3-4C62-B801-1793AB467D33}"/>
    <cellStyle name="20 % – Zvýraznění1 6" xfId="1286" xr:uid="{AFEE44C5-8375-4599-B345-D910F294A4B6}"/>
    <cellStyle name="20 % – Zvýraznění1 7" xfId="1704" xr:uid="{E4DF6B03-F25C-43AB-B478-8FC9A880DFF2}"/>
    <cellStyle name="20 % – Zvýraznění1_HEU_act" xfId="945" xr:uid="{AFC82F52-73F9-48B5-B5A4-F7AAF793641B}"/>
    <cellStyle name="20 % – Zvýraznění2" xfId="40" xr:uid="{4034DD6E-3004-44B7-8E87-22D55EFF611C}"/>
    <cellStyle name="20 % – Zvýraznění2 2" xfId="161" xr:uid="{4923B9F1-9178-4066-ABD4-F92BDC2B1718}"/>
    <cellStyle name="20 % – Zvýraznění2 2 2" xfId="378" xr:uid="{2D6A8D74-AF9D-49DC-9396-D288868D9F71}"/>
    <cellStyle name="20 % – Zvýraznění2 2 2 2" xfId="800" xr:uid="{EC224D7F-2BA3-4622-AA4F-D6BCAB63D505}"/>
    <cellStyle name="20 % – Zvýraznění2 2 2 3" xfId="1557" xr:uid="{55957424-7158-4F92-9D2E-2954B33556A6}"/>
    <cellStyle name="20 % – Zvýraznění2 2 2 4" xfId="1975" xr:uid="{2973F27C-16DE-46EB-8D60-DFB3E9CC393F}"/>
    <cellStyle name="20 % – Zvýraznění2 2 2_HEU_act" xfId="952" xr:uid="{2EAA850C-3993-4C96-A25C-21A788E4E466}"/>
    <cellStyle name="20 % – Zvýraznění2 2 3" xfId="592" xr:uid="{B2BBDF9C-317B-48F2-B591-FF4D8FE5FE96}"/>
    <cellStyle name="20 % – Zvýraznění2 2 5" xfId="1767" xr:uid="{DCD19297-71BB-4287-AA32-A6E68DE42D03}"/>
    <cellStyle name="20 % – Zvýraznění2 2_HEU_act" xfId="951" xr:uid="{011CF64C-591E-40ED-868E-ACD865B05C8A}"/>
    <cellStyle name="20 % – Zvýraznění2 3" xfId="222" xr:uid="{9FBDCAF1-8395-4061-A26E-AB9016FA6B75}"/>
    <cellStyle name="20 % – Zvýraznění2 3 2" xfId="439" xr:uid="{0D7D7EA7-D809-4CD2-936D-1F27554548BE}"/>
    <cellStyle name="20 % – Zvýraznění2 3 2 2" xfId="861" xr:uid="{400110F2-16D4-4867-9752-7F3BDCD3EF08}"/>
    <cellStyle name="20 % – Zvýraznění2 3 2 3" xfId="1618" xr:uid="{38828D5C-3AC7-43F6-8F51-F00B4DF49D0E}"/>
    <cellStyle name="20 % – Zvýraznění2 3 2 4" xfId="2036" xr:uid="{EA2B4C15-A615-4782-844C-5C518BD3CCC4}"/>
    <cellStyle name="20 % – Zvýraznění2 3 2_HEU_act" xfId="954" xr:uid="{4388C82A-611D-4142-B565-1A03E8316EAE}"/>
    <cellStyle name="20 % – Zvýraznění2 3 3" xfId="653" xr:uid="{023152D1-0DA9-4838-911C-4930CA054B6B}"/>
    <cellStyle name="20 % – Zvýraznění2 3 4" xfId="1410" xr:uid="{F36965C5-EBBB-4920-9B15-537FF064E5FC}"/>
    <cellStyle name="20 % – Zvýraznění2 3 5" xfId="1828" xr:uid="{F2A700DF-BCBB-4A07-8AFF-A07E7754F15C}"/>
    <cellStyle name="20 % – Zvýraznění2 3_HEU_act" xfId="953" xr:uid="{2FA52CE7-A7E6-42FE-A818-318F36A5958F}"/>
    <cellStyle name="20 % – Zvýraznění2 4" xfId="317" xr:uid="{958898A1-3F6F-427F-AA13-3F762B1BCC32}"/>
    <cellStyle name="20 % – Zvýraznění2 4 2" xfId="739" xr:uid="{9D7D4007-53F5-47FC-A2F9-3DC279D6CFA4}"/>
    <cellStyle name="20 % – Zvýraznění2 4 3" xfId="1496" xr:uid="{AEADD4A4-BF7A-4965-A9BD-9476156CDC21}"/>
    <cellStyle name="20 % – Zvýraznění2 4 4" xfId="1914" xr:uid="{9A235CB2-A853-4AD0-B47A-C408A2A676A3}"/>
    <cellStyle name="20 % – Zvýraznění2 4_HEU_act" xfId="955" xr:uid="{8C5AA607-AC4E-4D53-A706-31AA3775A373}"/>
    <cellStyle name="20 % – Zvýraznění2 5" xfId="531" xr:uid="{8496BB0C-B9B2-40DF-ABA1-56AEF6EAD643}"/>
    <cellStyle name="20 % – Zvýraznění2 6" xfId="1287" xr:uid="{C98D8963-E73C-488D-9572-C733B90542DA}"/>
    <cellStyle name="20 % – Zvýraznění2 7" xfId="1705" xr:uid="{F9462118-26A9-4DCC-B863-EE38517A3873}"/>
    <cellStyle name="20 % – Zvýraznění2_HEU_act" xfId="950" xr:uid="{83D61788-1331-4702-BBF4-A88E7C53B46E}"/>
    <cellStyle name="20 % – Zvýraznění3" xfId="41" xr:uid="{1A645E23-7FA4-48E1-AF11-8E918DE25468}"/>
    <cellStyle name="20 % – Zvýraznění3 2" xfId="162" xr:uid="{1480DAE3-F98F-4D81-93DD-F832A25E79AA}"/>
    <cellStyle name="20 % – Zvýraznění3 2 2" xfId="379" xr:uid="{CC3B1687-65AF-4819-B12E-177A4604F3D3}"/>
    <cellStyle name="20 % – Zvýraznění3 2 2 2" xfId="801" xr:uid="{43503CDC-D80F-4E69-9590-E95C7D0E1A2F}"/>
    <cellStyle name="20 % – Zvýraznění3 2 2 3" xfId="1558" xr:uid="{781FAC3A-25AD-47C0-A1BA-ED15BE2DA18C}"/>
    <cellStyle name="20 % – Zvýraznění3 2 2 4" xfId="1976" xr:uid="{931E24DF-5F20-4FD3-BD7B-D8B84561C704}"/>
    <cellStyle name="20 % – Zvýraznění3 2 2_HEU_act" xfId="958" xr:uid="{36D7B547-F4A0-47F5-866D-52DD3FD1C973}"/>
    <cellStyle name="20 % – Zvýraznění3 2 3" xfId="593" xr:uid="{97C891C4-B3DF-40F1-8D44-4D84B18BADB2}"/>
    <cellStyle name="20 % – Zvýraznění3 2 4" xfId="1350" xr:uid="{3AAD27A1-A393-4943-A550-2D61592DC980}"/>
    <cellStyle name="20 % – Zvýraznění3 2 5" xfId="1768" xr:uid="{9F634E41-46FF-4CEA-A434-92DED186910A}"/>
    <cellStyle name="20 % – Zvýraznění3 2_HEU_act" xfId="957" xr:uid="{A34FF16B-C095-4220-BDC1-506F95B93502}"/>
    <cellStyle name="20 % – Zvýraznění3 3" xfId="223" xr:uid="{07C5494C-C383-41DC-A79A-B7DFB516C9AB}"/>
    <cellStyle name="20 % – Zvýraznění3 3 2" xfId="440" xr:uid="{4252C80E-D173-49DF-9215-26DFA309FCAC}"/>
    <cellStyle name="20 % – Zvýraznění3 3 2 2" xfId="862" xr:uid="{65C81DB1-D175-4535-9D6E-9EE0AEEB6190}"/>
    <cellStyle name="20 % – Zvýraznění3 3 2 3" xfId="1619" xr:uid="{70A09BDA-6E60-49D0-B5C2-5A96E7895B65}"/>
    <cellStyle name="20 % – Zvýraznění3 3 2 4" xfId="2037" xr:uid="{B081421D-7BE6-4CC1-8FBD-17AA1C1D8C38}"/>
    <cellStyle name="20 % – Zvýraznění3 3 2_HEU_act" xfId="960" xr:uid="{D4A12662-93D4-4ADB-B930-5065FCDC57C6}"/>
    <cellStyle name="20 % – Zvýraznění3 3 3" xfId="654" xr:uid="{CB68953F-3ED5-4F18-8C1B-2217B4778854}"/>
    <cellStyle name="20 % – Zvýraznění3 3 4" xfId="1411" xr:uid="{9C777074-553E-4B6A-B900-0483FB11BA85}"/>
    <cellStyle name="20 % – Zvýraznění3 3 5" xfId="1829" xr:uid="{D9DF6F0E-CF02-4A22-8C55-668C4970E48B}"/>
    <cellStyle name="20 % – Zvýraznění3 3_HEU_act" xfId="959" xr:uid="{19C4D594-6CDC-4A3C-865D-6C4331515EFC}"/>
    <cellStyle name="20 % – Zvýraznění3 4" xfId="318" xr:uid="{F7A03EB5-39F8-4AD0-AEDA-DCA614EFF621}"/>
    <cellStyle name="20 % – Zvýraznění3 4 2" xfId="740" xr:uid="{58B3F88F-A607-44BB-978E-99F3890C95AF}"/>
    <cellStyle name="20 % – Zvýraznění3 4 3" xfId="1497" xr:uid="{0928C8CB-7C49-4085-BA89-3C7CB84512BA}"/>
    <cellStyle name="20 % – Zvýraznění3 4 4" xfId="1915" xr:uid="{2DBF5538-880D-403E-BF65-EDDBE7F20B78}"/>
    <cellStyle name="20 % – Zvýraznění3 4_HEU_act" xfId="961" xr:uid="{3C39F4A3-275F-4889-958A-FF93B86E083B}"/>
    <cellStyle name="20 % – Zvýraznění3 5" xfId="532" xr:uid="{57A81348-6BD6-4D68-9696-0D2AF3BB76E1}"/>
    <cellStyle name="20 % – Zvýraznění3 6" xfId="1288" xr:uid="{617DB284-E36D-42D1-9B19-B569A99320A0}"/>
    <cellStyle name="20 % – Zvýraznění3 7" xfId="1706" xr:uid="{4DD7CB11-19D5-4813-B6A7-E1B7AF78BF93}"/>
    <cellStyle name="20 % – Zvýraznění3_HEU_act" xfId="956" xr:uid="{E0AF1D49-8981-431A-89F2-F6E58F8E3C25}"/>
    <cellStyle name="20 % – Zvýraznění4" xfId="42" xr:uid="{15E6981B-20FB-4CDC-BB6C-A5A918528A1F}"/>
    <cellStyle name="20 % – Zvýraznění4 2" xfId="163" xr:uid="{4F396DCB-65BF-4552-B64E-DCC2DCDC66F4}"/>
    <cellStyle name="20 % – Zvýraznění4 2 2" xfId="380" xr:uid="{E53266E4-87EE-4893-8D65-5B14A03DE74D}"/>
    <cellStyle name="20 % – Zvýraznění4 2 2 2" xfId="802" xr:uid="{25F35FD4-AA95-40CD-AE9C-0A85D496891D}"/>
    <cellStyle name="20 % – Zvýraznění4 2 2 3" xfId="1559" xr:uid="{8D828B3F-7EEA-4D95-96E7-BF75CB8D0C33}"/>
    <cellStyle name="20 % – Zvýraznění4 2 2 4" xfId="1977" xr:uid="{6D99D0FF-2AF2-4FE5-87F5-49DD75BA9385}"/>
    <cellStyle name="20 % – Zvýraznění4 2 2_HEU_act" xfId="964" xr:uid="{E6D1D014-19F3-4583-8F6E-5AA87A303F0D}"/>
    <cellStyle name="20 % – Zvýraznění4 2 3" xfId="594" xr:uid="{C0EFB4A0-0619-42DA-8166-AA96D3E13FF6}"/>
    <cellStyle name="20 % – Zvýraznění4 2 4" xfId="1351" xr:uid="{75095246-D5D8-4C11-9595-F5FDC87EBE59}"/>
    <cellStyle name="20 % – Zvýraznění4 2 5" xfId="1769" xr:uid="{4CDF0A04-2764-4722-9839-70BBEF1A7DE2}"/>
    <cellStyle name="20 % – Zvýraznění4 2_HEU_act" xfId="963" xr:uid="{3B22E0C4-2990-4613-9B14-0B0BF7AD9084}"/>
    <cellStyle name="20 % – Zvýraznění4 3" xfId="224" xr:uid="{053AB16E-37B4-40E0-BF6B-96EDB4C6667F}"/>
    <cellStyle name="20 % – Zvýraznění4 3 2" xfId="441" xr:uid="{26F49825-F35B-4BA3-96D0-302EC931D157}"/>
    <cellStyle name="20 % – Zvýraznění4 3 2 2" xfId="863" xr:uid="{00925BE5-D206-4CF2-ACFD-01DB9B7EDB45}"/>
    <cellStyle name="20 % – Zvýraznění4 3 2 3" xfId="1620" xr:uid="{409C0F12-C36F-4502-B9E5-A7B77E8FABA3}"/>
    <cellStyle name="20 % – Zvýraznění4 3 2 4" xfId="2038" xr:uid="{BE384682-7EB0-42A8-B608-C5AA9532BFC5}"/>
    <cellStyle name="20 % – Zvýraznění4 3 2_HEU_act" xfId="966" xr:uid="{1CEA5860-DA32-44A3-82F2-6AE00488D1F2}"/>
    <cellStyle name="20 % – Zvýraznění4 3 3" xfId="655" xr:uid="{277E0773-548E-4537-8DCD-5CDED870B17D}"/>
    <cellStyle name="20 % – Zvýraznění4 3 4" xfId="1412" xr:uid="{62274E74-E3C6-4C55-B064-9FA40A63EBF1}"/>
    <cellStyle name="20 % – Zvýraznění4 3 5" xfId="1830" xr:uid="{47FC99B6-F0BF-4991-885F-E70B5DC84194}"/>
    <cellStyle name="20 % – Zvýraznění4 3_HEU_act" xfId="965" xr:uid="{F09DEFB9-43DB-4DC0-9BC1-4FFD8250B810}"/>
    <cellStyle name="20 % – Zvýraznění4 4" xfId="319" xr:uid="{C4FC60EE-186B-4814-BF5C-9B9EC559440C}"/>
    <cellStyle name="20 % – Zvýraznění4 4 2" xfId="741" xr:uid="{A161E3D6-77C1-48A6-98D4-B859895E9450}"/>
    <cellStyle name="20 % – Zvýraznění4 4 3" xfId="1498" xr:uid="{6B51B12C-0083-4D83-A424-7F102AF93592}"/>
    <cellStyle name="20 % – Zvýraznění4 4 4" xfId="1916" xr:uid="{D6F1D8AA-E136-497A-B9A4-5E9199F6689F}"/>
    <cellStyle name="20 % – Zvýraznění4 4_HEU_act" xfId="967" xr:uid="{B578670E-AB4C-4E61-9E49-080616B54D77}"/>
    <cellStyle name="20 % – Zvýraznění4 5" xfId="533" xr:uid="{608072FA-6BBF-4C91-9DC2-2D9054767BF3}"/>
    <cellStyle name="20 % – Zvýraznění4 6" xfId="1289" xr:uid="{494382E0-F8B6-4A8F-9517-6A401347ABF2}"/>
    <cellStyle name="20 % – Zvýraznění4 7" xfId="1707" xr:uid="{D553FFFF-FC1E-46F6-A629-1E4DBA81F1CA}"/>
    <cellStyle name="20 % – Zvýraznění4_HEU_act" xfId="962" xr:uid="{9C29A6D7-2070-455C-97B1-0C71BF4E568B}"/>
    <cellStyle name="20 % – Zvýraznění5" xfId="43" xr:uid="{F5014234-F031-441B-A7D9-84BF7EC0A9EA}"/>
    <cellStyle name="20 % – Zvýraznění5 2" xfId="164" xr:uid="{8C419202-2153-494F-9A9D-281CBA434C22}"/>
    <cellStyle name="20 % – Zvýraznění5 2 2" xfId="381" xr:uid="{5EAAB5C7-94C7-49D2-B178-61979E49E3A3}"/>
    <cellStyle name="20 % – Zvýraznění5 2 2 2" xfId="803" xr:uid="{57C67311-D962-40B0-92F3-6D23813270E8}"/>
    <cellStyle name="20 % – Zvýraznění5 2 2 3" xfId="1560" xr:uid="{A41CF642-9C60-449F-B26D-D4C2B267ED69}"/>
    <cellStyle name="20 % – Zvýraznění5 2 2 4" xfId="1978" xr:uid="{6B6F31BB-7B14-43D5-8A21-D28F43CBA34E}"/>
    <cellStyle name="20 % – Zvýraznění5 2 2_HEU_act" xfId="970" xr:uid="{E35F6848-8D26-4F7C-BEEE-4528AB875EEC}"/>
    <cellStyle name="20 % – Zvýraznění5 2 3" xfId="595" xr:uid="{995D51C0-8510-4CAD-B84E-C4B567115D6F}"/>
    <cellStyle name="20 % – Zvýraznění5 2 4" xfId="1352" xr:uid="{65A334D8-E836-4B36-9350-E2F11A5FEB02}"/>
    <cellStyle name="20 % – Zvýraznění5 2 5" xfId="1770" xr:uid="{7FE32598-0F9A-45A2-8C77-8C01AF59CFAE}"/>
    <cellStyle name="20 % – Zvýraznění5 2_HEU_act" xfId="969" xr:uid="{96A70C8D-E6AC-4CA1-B449-00DD836CA4F2}"/>
    <cellStyle name="20 % – Zvýraznění5 3" xfId="225" xr:uid="{959A8A53-1F71-4EFD-AF20-7AD72351AD0E}"/>
    <cellStyle name="20 % – Zvýraznění5 3 2" xfId="442" xr:uid="{1B939C2A-8A83-47D7-8686-31D98EDE1167}"/>
    <cellStyle name="20 % – Zvýraznění5 3 2 2" xfId="864" xr:uid="{22959478-DD14-4D37-9AD0-DF1C86E3F62E}"/>
    <cellStyle name="20 % – Zvýraznění5 3 2 3" xfId="1621" xr:uid="{FEBC6EF9-FCFC-4F56-991A-94CFE16B4569}"/>
    <cellStyle name="20 % – Zvýraznění5 3 2 4" xfId="2039" xr:uid="{27AE0009-9284-47A2-B3CB-02EF997D311E}"/>
    <cellStyle name="20 % – Zvýraznění5 3 2_HEU_act" xfId="972" xr:uid="{BB0DB9C0-EF4C-43BE-97DE-65BD15E83F88}"/>
    <cellStyle name="20 % – Zvýraznění5 3 3" xfId="656" xr:uid="{ABBE4184-2068-4E98-9A07-676EFA85A766}"/>
    <cellStyle name="20 % – Zvýraznění5 3 4" xfId="1413" xr:uid="{B80B0AF6-2DB9-45D2-9042-BB575A49278F}"/>
    <cellStyle name="20 % – Zvýraznění5 3 5" xfId="1831" xr:uid="{AF3F2BED-0DA4-45F9-812A-02B613020220}"/>
    <cellStyle name="20 % – Zvýraznění5 3_HEU_act" xfId="971" xr:uid="{77A395CD-CD1F-4A87-B70A-EDEA0544F7C3}"/>
    <cellStyle name="20 % – Zvýraznění5 4" xfId="320" xr:uid="{AAFEE9DF-1DBA-4596-A4C6-14C43A30EC40}"/>
    <cellStyle name="20 % – Zvýraznění5 4 2" xfId="742" xr:uid="{76CDB7BE-3230-40DB-9C56-E3CD575091D3}"/>
    <cellStyle name="20 % – Zvýraznění5 4 3" xfId="1499" xr:uid="{4DFC8D75-46A0-4108-92E1-10FDCA9CABF0}"/>
    <cellStyle name="20 % – Zvýraznění5 4 4" xfId="1917" xr:uid="{81D9A0A6-17AC-4BF1-BE58-402FE7AFDE76}"/>
    <cellStyle name="20 % – Zvýraznění5 4_HEU_act" xfId="973" xr:uid="{FD872D63-BE6E-408C-8549-56C0C33B252F}"/>
    <cellStyle name="20 % – Zvýraznění5 5" xfId="534" xr:uid="{7C05697D-FE6C-4066-8638-BF7494BD1F94}"/>
    <cellStyle name="20 % – Zvýraznění5 6" xfId="1290" xr:uid="{32CBFBD3-B630-45B4-9C10-843FAFD479D3}"/>
    <cellStyle name="20 % – Zvýraznění5 7" xfId="1708" xr:uid="{C176102A-9342-403A-8956-A839CCC28852}"/>
    <cellStyle name="20 % – Zvýraznění5_HEU_act" xfId="968" xr:uid="{085BBFFC-BA09-4D70-BBDD-E161D1973618}"/>
    <cellStyle name="20 % – Zvýraznění6" xfId="44" xr:uid="{DB2BF77C-19D9-4488-B7D1-DD7A29B08E1A}"/>
    <cellStyle name="20 % – Zvýraznění6 2" xfId="165" xr:uid="{E1B21D79-857D-4802-B6D8-D646C86A0164}"/>
    <cellStyle name="20 % – Zvýraznění6 2 2" xfId="382" xr:uid="{3034E049-55AD-4859-ADF2-2B5515C51B23}"/>
    <cellStyle name="20 % – Zvýraznění6 2 2 2" xfId="804" xr:uid="{B4C90CFF-6B52-432A-A463-564A84EE4854}"/>
    <cellStyle name="20 % – Zvýraznění6 2 2 3" xfId="1561" xr:uid="{1B238494-2A7F-4730-8B53-D61A9A837B32}"/>
    <cellStyle name="20 % – Zvýraznění6 2 2 4" xfId="1979" xr:uid="{52B91E35-C09D-467B-83B4-79D4962F917B}"/>
    <cellStyle name="20 % – Zvýraznění6 2 2_HEU_act" xfId="976" xr:uid="{A8A7480B-5681-4036-972B-2A1EB92A0640}"/>
    <cellStyle name="20 % – Zvýraznění6 2 3" xfId="596" xr:uid="{9C3D0987-C403-4580-9B7B-F64C4C74E9CE}"/>
    <cellStyle name="20 % – Zvýraznění6 2 4" xfId="1353" xr:uid="{FAB166D6-B8D2-4FC2-BB14-BA4F4D70AB04}"/>
    <cellStyle name="20 % – Zvýraznění6 2 5" xfId="1771" xr:uid="{D756C643-2733-457A-A2CB-F968CCECA36B}"/>
    <cellStyle name="20 % – Zvýraznění6 2_HEU_act" xfId="975" xr:uid="{CAB23E53-E2CA-482D-A656-6F32DB74C371}"/>
    <cellStyle name="20 % – Zvýraznění6 3" xfId="226" xr:uid="{EC5FE7B8-0202-453C-857E-3A5763D04CA0}"/>
    <cellStyle name="20 % – Zvýraznění6 3 2" xfId="443" xr:uid="{63FC1175-A5C6-48EB-B9FA-69CA7299EC0A}"/>
    <cellStyle name="20 % – Zvýraznění6 3 2 2" xfId="865" xr:uid="{CA1C7682-8813-4200-BFB8-B79B439CB331}"/>
    <cellStyle name="20 % – Zvýraznění6 3 2 3" xfId="1622" xr:uid="{469687B1-FFCE-43F9-B300-34E49F6A2E92}"/>
    <cellStyle name="20 % – Zvýraznění6 3 2 4" xfId="2040" xr:uid="{239A219D-467E-47E1-BEF1-34ECE932738D}"/>
    <cellStyle name="20 % – Zvýraznění6 3 2_HEU_act" xfId="978" xr:uid="{4B312145-CA95-4185-80C1-78BE771CEFE7}"/>
    <cellStyle name="20 % – Zvýraznění6 3 3" xfId="657" xr:uid="{5BCEB5AE-48A1-40EE-AE68-9B1D19B70243}"/>
    <cellStyle name="20 % – Zvýraznění6 3 4" xfId="1414" xr:uid="{954FB717-7C93-448D-B5B1-2A4533001A90}"/>
    <cellStyle name="20 % – Zvýraznění6 3 5" xfId="1832" xr:uid="{C0670571-4783-49E4-A561-7DA8BD1AFBCA}"/>
    <cellStyle name="20 % – Zvýraznění6 3_HEU_act" xfId="977" xr:uid="{3956C34A-620E-4739-991B-92F5B05F00FE}"/>
    <cellStyle name="20 % – Zvýraznění6 4" xfId="321" xr:uid="{AE839BE3-CF77-4BD1-953D-6681852A5F3A}"/>
    <cellStyle name="20 % – Zvýraznění6 4 2" xfId="743" xr:uid="{BE737140-FBF5-4C31-B36C-26A37786DB2C}"/>
    <cellStyle name="20 % – Zvýraznění6 4 3" xfId="1500" xr:uid="{2108D919-DEA0-4442-A00A-0413E1D16108}"/>
    <cellStyle name="20 % – Zvýraznění6 4 4" xfId="1918" xr:uid="{92550E61-84CB-4DF8-8121-3C928363BEDB}"/>
    <cellStyle name="20 % – Zvýraznění6 4_HEU_act" xfId="979" xr:uid="{D3E9BBED-7EA2-49CC-ACC1-D16C9F2CD61C}"/>
    <cellStyle name="20 % – Zvýraznění6 5" xfId="535" xr:uid="{D1AB0F1D-7ACA-42DF-894C-88E271807B98}"/>
    <cellStyle name="20 % – Zvýraznění6 7" xfId="1709" xr:uid="{B58187F4-07C3-4B6F-ADF0-3BC80DE38080}"/>
    <cellStyle name="20 % – Zvýraznění6_HEU_act" xfId="974" xr:uid="{1D1E4FB9-F9BF-4074-A1B1-D2FDD4218F2D}"/>
    <cellStyle name="40 % – Zvýraznění1" xfId="45" xr:uid="{5B6FBD98-DDF2-4C3E-BCEF-2885C9F95A5B}"/>
    <cellStyle name="40 % – Zvýraznění1 2" xfId="166" xr:uid="{69DFE352-6D0B-4BDF-9730-9476C69DACE9}"/>
    <cellStyle name="40 % – Zvýraznění1 2 2" xfId="383" xr:uid="{8CAA5C0A-E3AC-41F7-9952-9617ACEF23CD}"/>
    <cellStyle name="40 % – Zvýraznění1 2 2 2" xfId="805" xr:uid="{EF732078-5467-4F36-AEB4-782E797D65EF}"/>
    <cellStyle name="40 % – Zvýraznění1 2 2 3" xfId="1562" xr:uid="{6DA48CC2-9106-4F1F-B026-219B37A3E17A}"/>
    <cellStyle name="40 % – Zvýraznění1 2 2 4" xfId="1980" xr:uid="{5585B918-DE82-4580-832A-BB215B148B31}"/>
    <cellStyle name="40 % – Zvýraznění1 2 2_HEU_act" xfId="982" xr:uid="{6EC45FC0-5F80-4B5B-8DD4-32D7BF41BF58}"/>
    <cellStyle name="40 % – Zvýraznění1 2 3" xfId="597" xr:uid="{2045271E-8DB5-4959-A7A0-4F25A9DEBDE6}"/>
    <cellStyle name="40 % – Zvýraznění1 2 4" xfId="1354" xr:uid="{E2CB60FE-311F-4BF7-BDCD-C3DEEBACFBA7}"/>
    <cellStyle name="40 % – Zvýraznění1 2 5" xfId="1772" xr:uid="{8A3933F6-5C3D-4A06-AC26-B3098C263E64}"/>
    <cellStyle name="40 % – Zvýraznění1 2_HEU_act" xfId="981" xr:uid="{91333800-FCF1-4911-A1EC-1D740A079803}"/>
    <cellStyle name="40 % – Zvýraznění1 3" xfId="227" xr:uid="{CBCCD452-D07C-4EC1-8ADA-E67199FC6407}"/>
    <cellStyle name="40 % – Zvýraznění1 3 2" xfId="444" xr:uid="{A9EC259F-F923-4758-AD0B-C8E72DC6F645}"/>
    <cellStyle name="40 % – Zvýraznění1 3 2 2" xfId="866" xr:uid="{B061B0FB-13E9-4BC8-94AF-DD78CE0CE18F}"/>
    <cellStyle name="40 % – Zvýraznění1 3 2 3" xfId="1623" xr:uid="{5F319A35-C292-4118-9E12-8131979F3ADD}"/>
    <cellStyle name="40 % – Zvýraznění1 3 2 4" xfId="2041" xr:uid="{9D963897-FC09-40AB-A60A-CA2003CE8F9C}"/>
    <cellStyle name="40 % – Zvýraznění1 3 2_HEU_act" xfId="984" xr:uid="{EB886948-90F6-4209-958E-DD992771DA24}"/>
    <cellStyle name="40 % – Zvýraznění1 3 3" xfId="658" xr:uid="{774E88A7-0C08-42EB-BB82-4F2E2C24B877}"/>
    <cellStyle name="40 % – Zvýraznění1 3 4" xfId="1415" xr:uid="{97C68DAA-B9FA-4E15-BF8B-3B8FCAD11BDF}"/>
    <cellStyle name="40 % – Zvýraznění1 3 5" xfId="1833" xr:uid="{300EA9B0-AA09-4DDD-9ACB-A1DDE797A3CE}"/>
    <cellStyle name="40 % – Zvýraznění1 3_HEU_act" xfId="983" xr:uid="{6BD4ED5B-A7B8-4691-A37D-4C5C865722B3}"/>
    <cellStyle name="40 % – Zvýraznění1 4" xfId="322" xr:uid="{72F7E2DF-2E3B-4609-844A-20E32E32B2C3}"/>
    <cellStyle name="40 % – Zvýraznění1 4 2" xfId="744" xr:uid="{32253A67-E6DC-4BE3-B3EE-B492BF6AC3EC}"/>
    <cellStyle name="40 % – Zvýraznění1 4 3" xfId="1501" xr:uid="{34CB879B-BFE6-4994-A29D-0634190B8959}"/>
    <cellStyle name="40 % – Zvýraznění1 4 4" xfId="1919" xr:uid="{47681DE4-0228-4233-A980-071C2B1DE8DA}"/>
    <cellStyle name="40 % – Zvýraznění1 4_HEU_act" xfId="985" xr:uid="{4C333015-E338-4A14-8966-F4FBBB04DDDF}"/>
    <cellStyle name="40 % – Zvýraznění1 5" xfId="536" xr:uid="{66041ADC-811A-4676-8457-FC877D297F72}"/>
    <cellStyle name="40 % – Zvýraznění1 6" xfId="1292" xr:uid="{9DA6F46D-A575-4855-9E20-E5077EFF0F07}"/>
    <cellStyle name="40 % – Zvýraznění1 7" xfId="1710" xr:uid="{8DE2233B-1502-41D3-8262-B8C1DCD798A9}"/>
    <cellStyle name="40 % – Zvýraznění1_HEU_act" xfId="980" xr:uid="{EC0F7BDB-22AA-470F-A29A-FDE467174FA7}"/>
    <cellStyle name="40 % – Zvýraznění2" xfId="46" xr:uid="{EEB5EE0F-B032-41DA-B3AE-988D6AA11193}"/>
    <cellStyle name="40 % – Zvýraznění2 2" xfId="167" xr:uid="{229B7E18-1236-4987-AD44-59BA0D1D4180}"/>
    <cellStyle name="40 % – Zvýraznění2 2 2" xfId="384" xr:uid="{2520A334-79CC-40A0-8838-7844AADBCCE0}"/>
    <cellStyle name="40 % – Zvýraznění2 2 2 2" xfId="806" xr:uid="{546E816E-E41A-46B3-914B-FD5BC31BC5B2}"/>
    <cellStyle name="40 % – Zvýraznění2 2 2 3" xfId="1563" xr:uid="{1C02787A-44C1-49B3-A050-60752A7F66AB}"/>
    <cellStyle name="40 % – Zvýraznění2 2 2 4" xfId="1981" xr:uid="{66EC214F-5200-4DB7-A36C-4C0F28CB3932}"/>
    <cellStyle name="40 % – Zvýraznění2 2 2_HEU_act" xfId="988" xr:uid="{B3E9314E-63AE-4477-8A58-7FF1A32312F0}"/>
    <cellStyle name="40 % – Zvýraznění2 2 3" xfId="598" xr:uid="{CF4C7CA8-A357-4B0E-BE94-B37109426036}"/>
    <cellStyle name="40 % – Zvýraznění2 2 4" xfId="1355" xr:uid="{0B3D753D-7B54-4BA7-A14F-3F4097B61CC4}"/>
    <cellStyle name="40 % – Zvýraznění2 2 5" xfId="1773" xr:uid="{F9B30B31-7053-4901-A25E-1DAB86FE4C98}"/>
    <cellStyle name="40 % – Zvýraznění2 2_HEU_act" xfId="987" xr:uid="{E5C31839-B6B5-4A6E-B650-22A905B248C7}"/>
    <cellStyle name="40 % – Zvýraznění2 3" xfId="228" xr:uid="{5A435BC7-1A0B-4E8C-835C-794E0405DDCB}"/>
    <cellStyle name="40 % – Zvýraznění2 3 2" xfId="445" xr:uid="{E5E8FC2E-E07D-414E-A652-43BE587D998D}"/>
    <cellStyle name="40 % – Zvýraznění2 3 2 2" xfId="867" xr:uid="{18743080-25C1-4527-8063-BA448DC4E37C}"/>
    <cellStyle name="40 % – Zvýraznění2 3 2 3" xfId="1624" xr:uid="{8D8947AE-0CB1-40C9-999F-F968F314C823}"/>
    <cellStyle name="40 % – Zvýraznění2 3 2 4" xfId="2042" xr:uid="{B624AA94-E3F9-49AA-ABA4-A62EF2953C42}"/>
    <cellStyle name="40 % – Zvýraznění2 3 2_HEU_act" xfId="990" xr:uid="{254A1441-F6ED-4980-8F8C-8DB66AC34617}"/>
    <cellStyle name="40 % – Zvýraznění2 3 3" xfId="659" xr:uid="{1C3A2E1A-02A0-4343-9F80-6AC07027FD10}"/>
    <cellStyle name="40 % – Zvýraznění2 3 4" xfId="1416" xr:uid="{03E8CB2A-727A-4F65-B32A-62E31B0BCCF4}"/>
    <cellStyle name="40 % – Zvýraznění2 3 5" xfId="1834" xr:uid="{3166813E-648E-41AF-85E4-546C5C8421BB}"/>
    <cellStyle name="40 % – Zvýraznění2 3_HEU_act" xfId="989" xr:uid="{2E35E285-BBB2-49E8-8FC9-A39F34AD1DEA}"/>
    <cellStyle name="40 % – Zvýraznění2 4" xfId="323" xr:uid="{CBADD0D9-C771-48DE-A100-ADF8A0E6BBAA}"/>
    <cellStyle name="40 % – Zvýraznění2 4 2" xfId="745" xr:uid="{4C606011-7CA9-4644-9CC3-395FCB185A18}"/>
    <cellStyle name="40 % – Zvýraznění2 4 3" xfId="1502" xr:uid="{DA8A7B17-BC5E-4E73-8BB0-033AAC93A836}"/>
    <cellStyle name="40 % – Zvýraznění2 4 4" xfId="1920" xr:uid="{442B1FDA-C833-48D9-85FA-22A91D656BC2}"/>
    <cellStyle name="40 % – Zvýraznění2 4_HEU_act" xfId="991" xr:uid="{C86A2E6F-1901-44D9-950A-B444A71104EC}"/>
    <cellStyle name="40 % – Zvýraznění2 5" xfId="537" xr:uid="{06124A9B-E7D4-4D07-A02E-E53D519B6B47}"/>
    <cellStyle name="40 % – Zvýraznění2 6" xfId="1293" xr:uid="{A6C1C874-2392-4AEA-937F-9BAA79947071}"/>
    <cellStyle name="40 % – Zvýraznění2 7" xfId="1711" xr:uid="{6D48E45D-7C96-4A86-8150-8527973E973F}"/>
    <cellStyle name="40 % – Zvýraznění2_HEU_act" xfId="986" xr:uid="{A263615C-F7A1-455C-8D6E-2CE4A501FC51}"/>
    <cellStyle name="40 % – Zvýraznění3" xfId="47" xr:uid="{613455F8-BB43-4B89-B6A0-CCAB7A9E37F5}"/>
    <cellStyle name="40 % – Zvýraznění3 2" xfId="168" xr:uid="{C717AD53-4162-421E-9369-9E003EC5E4EA}"/>
    <cellStyle name="40 % – Zvýraznění3 2 2" xfId="385" xr:uid="{B2C5A901-EE38-47BA-B5C2-26161D34A44D}"/>
    <cellStyle name="40 % – Zvýraznění3 2 2 2" xfId="807" xr:uid="{B21696A4-F8FF-4E90-8EBA-4828574D4E15}"/>
    <cellStyle name="40 % – Zvýraznění3 2 2 3" xfId="1564" xr:uid="{47E16126-BB00-426D-BD7A-D89F281E884B}"/>
    <cellStyle name="40 % – Zvýraznění3 2 2 4" xfId="1982" xr:uid="{0ADF73ED-1AE4-4406-9AD2-D5980A17AB58}"/>
    <cellStyle name="40 % – Zvýraznění3 2 2_HEU_act" xfId="994" xr:uid="{CD1564E7-054C-4120-AA1F-44AB7C1E761A}"/>
    <cellStyle name="40 % – Zvýraznění3 2 3" xfId="599" xr:uid="{40A53109-1AFA-4305-B5FE-92892A05A3EB}"/>
    <cellStyle name="40 % – Zvýraznění3 2 4" xfId="1356" xr:uid="{1A6A8451-74CC-4A01-A269-A7DFBFE12DCA}"/>
    <cellStyle name="40 % – Zvýraznění3 2 5" xfId="1774" xr:uid="{D23D8CB4-6A2C-405F-AAC9-9AE850EB87FF}"/>
    <cellStyle name="40 % – Zvýraznění3 2_HEU_act" xfId="993" xr:uid="{17FA5642-0CB1-469B-A3D5-40673E6C054D}"/>
    <cellStyle name="40 % – Zvýraznění3 3" xfId="229" xr:uid="{4A70A210-003A-47A4-8A66-8B75D7CC21AD}"/>
    <cellStyle name="40 % – Zvýraznění3 3 2" xfId="446" xr:uid="{1246FC53-2F4E-4218-86A6-3690C909FF14}"/>
    <cellStyle name="40 % – Zvýraznění3 3 2 2" xfId="868" xr:uid="{94454721-6EE0-4401-A4B1-9AB689B8E281}"/>
    <cellStyle name="40 % – Zvýraznění3 3 2 3" xfId="1625" xr:uid="{2F635AEF-4F6D-4485-8869-3967CE268C94}"/>
    <cellStyle name="40 % – Zvýraznění3 3 2 4" xfId="2043" xr:uid="{674E49ED-23A8-414A-AD5E-101E73521ABE}"/>
    <cellStyle name="40 % – Zvýraznění3 3 2_HEU_act" xfId="996" xr:uid="{562B84F9-8419-42C0-A576-FE50CFC2BA9E}"/>
    <cellStyle name="40 % – Zvýraznění3 3 3" xfId="660" xr:uid="{DCEE23CD-C038-4A3E-B634-6EF6DFA0AE85}"/>
    <cellStyle name="40 % – Zvýraznění3 3 4" xfId="1417" xr:uid="{063BE4BC-30EF-4CFA-9D34-6A1A5E54E028}"/>
    <cellStyle name="40 % – Zvýraznění3 3 5" xfId="1835" xr:uid="{469FA285-4300-4ED4-8D50-5BAFA4BCF13D}"/>
    <cellStyle name="40 % – Zvýraznění3 3_HEU_act" xfId="995" xr:uid="{EF100EE7-6C69-4A81-9931-EAD859D08E8E}"/>
    <cellStyle name="40 % – Zvýraznění3 4" xfId="324" xr:uid="{47409475-97FB-4AEB-B031-74FCB6DC4A64}"/>
    <cellStyle name="40 % – Zvýraznění3 4 2" xfId="746" xr:uid="{F54CD22D-97DA-41FB-848F-A30B5021EED1}"/>
    <cellStyle name="40 % – Zvýraznění3 4 3" xfId="1503" xr:uid="{AE9E689B-7B0C-4C04-96DD-FC478A2EF46E}"/>
    <cellStyle name="40 % – Zvýraznění3 4 4" xfId="1921" xr:uid="{22DC01D3-0357-4F4D-A274-F59C60F59FBB}"/>
    <cellStyle name="40 % – Zvýraznění3 4_HEU_act" xfId="997" xr:uid="{9FF2E80A-0287-47C7-8383-43F19FFF3027}"/>
    <cellStyle name="40 % – Zvýraznění3 5" xfId="538" xr:uid="{877E9563-5293-43FA-AC3D-E3F3AE66705F}"/>
    <cellStyle name="40 % – Zvýraznění3 6" xfId="1294" xr:uid="{5A53A4ED-C8B0-4C52-9E6A-EE51AB5EB1E0}"/>
    <cellStyle name="40 % – Zvýraznění3 7" xfId="1712" xr:uid="{EE44CA18-20DD-4379-AF3D-B0C582B63FAC}"/>
    <cellStyle name="40 % – Zvýraznění3_HEU_act" xfId="992" xr:uid="{CDC1180C-049B-402E-92AC-806B7F68F844}"/>
    <cellStyle name="40 % – Zvýraznění4" xfId="48" xr:uid="{8B4D7515-1667-4EAD-8282-78326702907A}"/>
    <cellStyle name="40 % – Zvýraznění4 2" xfId="169" xr:uid="{65D2591A-AF72-440D-B279-5143870F39C7}"/>
    <cellStyle name="40 % – Zvýraznění4 2 2" xfId="386" xr:uid="{220950ED-80EC-4AE6-A306-D2378D0DD7CE}"/>
    <cellStyle name="40 % – Zvýraznění4 2 2 2" xfId="808" xr:uid="{218DE7AB-D1EE-4345-A1DB-81846F38FB70}"/>
    <cellStyle name="40 % – Zvýraznění4 2 2 3" xfId="1565" xr:uid="{D58788F8-435D-438E-9874-8CCAAB5AFE7D}"/>
    <cellStyle name="40 % – Zvýraznění4 2 2 4" xfId="1983" xr:uid="{DC7AC6C6-B306-425B-BBA3-74E3B31D2214}"/>
    <cellStyle name="40 % – Zvýraznění4 2 2_HEU_act" xfId="1000" xr:uid="{94CD2FBB-52B4-4998-B5A8-34557ABEEA67}"/>
    <cellStyle name="40 % – Zvýraznění4 2 3" xfId="600" xr:uid="{8C46C9F5-EAF9-4551-9931-3A7B065C5854}"/>
    <cellStyle name="40 % – Zvýraznění4 2 4" xfId="1357" xr:uid="{E369830A-83F8-4698-BB16-0F5470687A20}"/>
    <cellStyle name="40 % – Zvýraznění4 2 5" xfId="1775" xr:uid="{AB7B574B-E5A0-4FE8-A10D-36558A096A4E}"/>
    <cellStyle name="40 % – Zvýraznění4 2_HEU_act" xfId="999" xr:uid="{786B330C-28A5-41FE-9BBF-503C8185ED0F}"/>
    <cellStyle name="40 % – Zvýraznění4 3" xfId="230" xr:uid="{EE350BE1-5820-4157-BC34-5C3495E6DBFC}"/>
    <cellStyle name="40 % – Zvýraznění4 3 2" xfId="447" xr:uid="{29071217-767F-43CD-A07D-58438EE2CC97}"/>
    <cellStyle name="40 % – Zvýraznění4 3 2 2" xfId="869" xr:uid="{0D054388-B06A-45D8-8164-780C7DC98B20}"/>
    <cellStyle name="40 % – Zvýraznění4 3 2 3" xfId="1626" xr:uid="{3933EA7C-7AFC-4B82-9ABE-4EE632225F62}"/>
    <cellStyle name="40 % – Zvýraznění4 3 2 4" xfId="2044" xr:uid="{5D949459-7F5A-4929-AF23-55F01E0CB619}"/>
    <cellStyle name="40 % – Zvýraznění4 3 2_HEU_act" xfId="1002" xr:uid="{71ECF55C-8A93-4A13-B85C-2074AB9E275F}"/>
    <cellStyle name="40 % – Zvýraznění4 3 3" xfId="661" xr:uid="{51BD0F4B-FAFC-466C-98B8-CB40459B9F36}"/>
    <cellStyle name="40 % – Zvýraznění4 3 4" xfId="1418" xr:uid="{2BF62D6A-ADCF-4792-8D19-15006915A285}"/>
    <cellStyle name="40 % – Zvýraznění4 3 5" xfId="1836" xr:uid="{3F057CD8-9020-4755-AE5D-41DFA090963E}"/>
    <cellStyle name="40 % – Zvýraznění4 3_HEU_act" xfId="1001" xr:uid="{3EA86385-0F4F-4B73-97C8-B4AC2374D890}"/>
    <cellStyle name="40 % – Zvýraznění4 4" xfId="325" xr:uid="{9365634A-DC74-4F78-A518-7AC711BE6E52}"/>
    <cellStyle name="40 % – Zvýraznění4 4 2" xfId="747" xr:uid="{7A2D73F0-47EF-4030-90A8-E00BFD7BDA60}"/>
    <cellStyle name="40 % – Zvýraznění4 4 3" xfId="1504" xr:uid="{E61B8AA9-02F4-4C66-82AC-4F842F6BB781}"/>
    <cellStyle name="40 % – Zvýraznění4 4 4" xfId="1922" xr:uid="{EB6C0144-B25B-46C4-A713-A015F2A01B66}"/>
    <cellStyle name="40 % – Zvýraznění4 4_HEU_act" xfId="1003" xr:uid="{C5FEEB32-62E5-4EC2-96F1-B5BE478900DA}"/>
    <cellStyle name="40 % – Zvýraznění4 5" xfId="539" xr:uid="{1B03B204-789D-4529-A51D-DA5B046593D2}"/>
    <cellStyle name="40 % – Zvýraznění4 6" xfId="1295" xr:uid="{404140C3-93AD-45C9-88B9-8D3BAFC88189}"/>
    <cellStyle name="40 % – Zvýraznění4 7" xfId="1713" xr:uid="{8B32591C-171E-49C6-AF2F-A3ABDD210946}"/>
    <cellStyle name="40 % – Zvýraznění4_HEU_act" xfId="998" xr:uid="{991DEEE4-93AD-4D95-B4DE-4A8871BC8B74}"/>
    <cellStyle name="40 % – Zvýraznění5" xfId="49" xr:uid="{30F8EFD7-C907-434E-8140-94DEB2CA6C17}"/>
    <cellStyle name="40 % – Zvýraznění5 2" xfId="170" xr:uid="{3431B23A-087B-4B80-8B05-6C4261FA228B}"/>
    <cellStyle name="40 % – Zvýraznění5 2 2" xfId="387" xr:uid="{91A9BDE7-9A1B-4E2B-B71E-BBEAF29E9854}"/>
    <cellStyle name="40 % – Zvýraznění5 2 2 2" xfId="809" xr:uid="{5E2E91EB-F99A-4126-9577-F5E368F24B47}"/>
    <cellStyle name="40 % – Zvýraznění5 2 2 3" xfId="1566" xr:uid="{9931A847-133F-4E70-8DF8-42C03C6F1097}"/>
    <cellStyle name="40 % – Zvýraznění5 2 2 4" xfId="1984" xr:uid="{8AECB43A-73A0-49F1-87B9-80C8FB8C35D0}"/>
    <cellStyle name="40 % – Zvýraznění5 2 2_HEU_act" xfId="1006" xr:uid="{7EA2758D-C279-48D5-8263-A35DCECD7635}"/>
    <cellStyle name="40 % – Zvýraznění5 2 3" xfId="601" xr:uid="{1E3A99B7-BBBF-461E-BDE2-AEDFB53061B8}"/>
    <cellStyle name="40 % – Zvýraznění5 2 4" xfId="1358" xr:uid="{28D2CC80-06FA-4746-A708-60D6196188F6}"/>
    <cellStyle name="40 % – Zvýraznění5 2 5" xfId="1776" xr:uid="{E14A3ED5-CA50-46BA-BD22-AE2A778C5870}"/>
    <cellStyle name="40 % – Zvýraznění5 2_HEU_act" xfId="1005" xr:uid="{69A43571-50AB-42C8-8A28-B95F245DB9F7}"/>
    <cellStyle name="40 % – Zvýraznění5 3" xfId="231" xr:uid="{4A9C3907-E785-4C2C-A61E-237B509892B3}"/>
    <cellStyle name="40 % – Zvýraznění5 3 2" xfId="448" xr:uid="{5368C56F-677A-4455-814C-EB7F9ACEE41D}"/>
    <cellStyle name="40 % – Zvýraznění5 3 2 2" xfId="870" xr:uid="{A7402346-5C44-4EEF-B52A-D1A84043314B}"/>
    <cellStyle name="40 % – Zvýraznění5 3 2 3" xfId="1627" xr:uid="{88D85FCB-3422-4883-A42A-43397567FC18}"/>
    <cellStyle name="40 % – Zvýraznění5 3 2 4" xfId="2045" xr:uid="{D713BC2C-4B95-4D37-84F5-3A01171B514A}"/>
    <cellStyle name="40 % – Zvýraznění5 3 2_HEU_act" xfId="1008" xr:uid="{6A2EC607-80C7-4A00-8893-7050553FA0BD}"/>
    <cellStyle name="40 % – Zvýraznění5 3 3" xfId="662" xr:uid="{C97B3E4B-C3D7-4F34-B385-2154C36F99B9}"/>
    <cellStyle name="40 % – Zvýraznění5 3 4" xfId="1419" xr:uid="{58ED8CFF-27F4-48A1-80C4-31776DD05A00}"/>
    <cellStyle name="40 % – Zvýraznění5 3 5" xfId="1837" xr:uid="{F3DDA674-43E0-4D15-AA78-0811010BEFA3}"/>
    <cellStyle name="40 % – Zvýraznění5 3_HEU_act" xfId="1007" xr:uid="{6A42C184-366A-442E-8268-6A72BB09B73E}"/>
    <cellStyle name="40 % – Zvýraznění5 4" xfId="326" xr:uid="{16F0E476-2B4B-4031-8130-AA1D5C67E1D7}"/>
    <cellStyle name="40 % – Zvýraznění5 4 2" xfId="748" xr:uid="{F5153755-DFB4-468A-BA40-6FCE8A3A0EE2}"/>
    <cellStyle name="40 % – Zvýraznění5 4 3" xfId="1505" xr:uid="{BD71AB79-7A31-4A08-9648-8160AAED7B09}"/>
    <cellStyle name="40 % – Zvýraznění5 4 4" xfId="1923" xr:uid="{4AC63973-4197-4C9A-92D4-D4B718B5B80E}"/>
    <cellStyle name="40 % – Zvýraznění5 4_HEU_act" xfId="1009" xr:uid="{99BD9F2A-F2CC-4A92-AA67-86CC97BE753A}"/>
    <cellStyle name="40 % – Zvýraznění5 5" xfId="540" xr:uid="{23ED50FB-DE95-4C2D-B344-CDF2523D1D47}"/>
    <cellStyle name="40 % – Zvýraznění5 6" xfId="1296" xr:uid="{1E7B0072-1E2E-4954-856D-824B301B714B}"/>
    <cellStyle name="40 % – Zvýraznění5 7" xfId="1714" xr:uid="{C48CCAA1-19D4-4094-9866-6C2AC920767E}"/>
    <cellStyle name="40 % – Zvýraznění5_HEU_act" xfId="1004" xr:uid="{ED391F9B-CE09-41EE-A289-72CDD0C06B09}"/>
    <cellStyle name="40 % – Zvýraznění6" xfId="50" xr:uid="{3E0A0AA6-41C2-40B5-8974-90925FC8FC89}"/>
    <cellStyle name="40 % – Zvýraznění6 2" xfId="171" xr:uid="{61C21183-8DB8-4818-BEC9-06BE1D6796D1}"/>
    <cellStyle name="40 % – Zvýraznění6 2 2" xfId="388" xr:uid="{5BB3CDF2-1A74-4221-9A77-CA81E807DC7C}"/>
    <cellStyle name="40 % – Zvýraznění6 2 2 2" xfId="810" xr:uid="{4BFE4193-CCCC-483A-9C81-FD4AF1B34EFD}"/>
    <cellStyle name="40 % – Zvýraznění6 2 2 3" xfId="1567" xr:uid="{6C557646-B200-4698-9E73-B49E34C4FAFA}"/>
    <cellStyle name="40 % – Zvýraznění6 2 2 4" xfId="1985" xr:uid="{5592E14A-F8C7-4EF7-8FA2-B579282EA8A7}"/>
    <cellStyle name="40 % – Zvýraznění6 2 2_HEU_act" xfId="1012" xr:uid="{BD727922-71A2-4EF7-A7B8-1C818816D1E9}"/>
    <cellStyle name="40 % – Zvýraznění6 2 3" xfId="602" xr:uid="{B6315BBA-58CE-4BB8-AC6B-BE491439C67F}"/>
    <cellStyle name="40 % – Zvýraznění6 2 4" xfId="1359" xr:uid="{6BD4D6EA-94E4-43F8-BA9B-91123123870B}"/>
    <cellStyle name="40 % – Zvýraznění6 2 5" xfId="1777" xr:uid="{19AC30C7-5C06-4CA2-8CC9-D5576F4A1735}"/>
    <cellStyle name="40 % – Zvýraznění6 2_HEU_act" xfId="1011" xr:uid="{679EA231-8550-488D-A67F-B9659F857415}"/>
    <cellStyle name="40 % – Zvýraznění6 3" xfId="232" xr:uid="{E5BC4685-A741-420E-A59F-1E21F4796097}"/>
    <cellStyle name="40 % – Zvýraznění6 3 2" xfId="449" xr:uid="{B775C700-8170-4381-84C3-6A79A6ACC83D}"/>
    <cellStyle name="40 % – Zvýraznění6 3 2 2" xfId="871" xr:uid="{6E93154A-681E-451D-9F54-4DAA825C41AF}"/>
    <cellStyle name="40 % – Zvýraznění6 3 2 3" xfId="1628" xr:uid="{4BA5B905-521B-41AB-BABB-2BB4F11EDDC4}"/>
    <cellStyle name="40 % – Zvýraznění6 3 2 4" xfId="2046" xr:uid="{F1CD74FE-1A5F-4E24-963A-E35EFB1DE8A1}"/>
    <cellStyle name="40 % – Zvýraznění6 3 2_HEU_act" xfId="1014" xr:uid="{053E74D7-E921-46F8-A84F-3FACBFC92199}"/>
    <cellStyle name="40 % – Zvýraznění6 3 3" xfId="663" xr:uid="{8337A4AD-30E2-4E3D-B6B5-526C7C4D1C86}"/>
    <cellStyle name="40 % – Zvýraznění6 3 4" xfId="1420" xr:uid="{CEFB2966-83FE-409A-BE10-CA8CB309F310}"/>
    <cellStyle name="40 % – Zvýraznění6 3 5" xfId="1838" xr:uid="{BE226340-56FB-4713-A115-C8838C54943D}"/>
    <cellStyle name="40 % – Zvýraznění6 3_HEU_act" xfId="1013" xr:uid="{127DF8DE-8538-46F7-9F1B-3F98A467D061}"/>
    <cellStyle name="40 % – Zvýraznění6 4" xfId="327" xr:uid="{FFC83760-413C-4B58-AD95-BE2346E91F7D}"/>
    <cellStyle name="40 % – Zvýraznění6 4 2" xfId="749" xr:uid="{CA9459E5-1C60-4969-AE31-BB4294294E5A}"/>
    <cellStyle name="40 % – Zvýraznění6 4 3" xfId="1506" xr:uid="{B7649CC7-0A02-45B8-A547-30BBC98926E2}"/>
    <cellStyle name="40 % – Zvýraznění6 4 4" xfId="1924" xr:uid="{E0886E57-48CA-49AB-9EC7-8A249FBE95B7}"/>
    <cellStyle name="40 % – Zvýraznění6 4_HEU_act" xfId="1015" xr:uid="{4C9FD2E5-6CD5-430F-B209-527642DD84FE}"/>
    <cellStyle name="40 % – Zvýraznění6 5" xfId="541" xr:uid="{0B9EE992-02C7-42DE-852C-3AF5DA40B81A}"/>
    <cellStyle name="40 % – Zvýraznění6 6" xfId="1297" xr:uid="{5262C870-1AE4-4B2D-ADBA-23087FD285C9}"/>
    <cellStyle name="40 % – Zvýraznění6 7" xfId="1715" xr:uid="{21AA46C2-E03A-4595-849E-4434C1BACAB7}"/>
    <cellStyle name="40 % – Zvýraznění6_HEU_act" xfId="1010" xr:uid="{6BF76C61-E0C9-405B-B1A2-FC6FABBDA6F4}"/>
    <cellStyle name="60 % – Zvýraznění1" xfId="51" xr:uid="{C566B402-8986-475F-B570-E3657B8E1C71}"/>
    <cellStyle name="60 % – Zvýraznění2" xfId="52" xr:uid="{ED4C2089-C83A-4F93-8A93-7B17B29BFFB1}"/>
    <cellStyle name="60 % – Zvýraznění3" xfId="53" xr:uid="{A12579D1-FFFA-45FE-A2AC-655711E701DD}"/>
    <cellStyle name="60 % – Zvýraznění4" xfId="54" xr:uid="{E41D7468-10C0-4A6B-A5AB-278C2461180F}"/>
    <cellStyle name="60 % – Zvýraznění5" xfId="55" xr:uid="{7F92C92D-252B-4AC6-9063-D0648B71EFD0}"/>
    <cellStyle name="60 % – Zvýraznění6" xfId="56" xr:uid="{9E9D427A-5936-433D-A191-4C4C01338535}"/>
    <cellStyle name="Čárka 2 2 2" xfId="922" xr:uid="{DA5ECB6F-742C-4C7D-8B8B-3B5DD5805922}"/>
    <cellStyle name="Čárka 2 2 3" xfId="1679" xr:uid="{886DCC3B-0DF7-4921-9523-83C18A3FAC2E}"/>
    <cellStyle name="Čárka 2 2 4" xfId="2097" xr:uid="{7D706876-BD58-4A5D-A93B-3F0A34237B37}"/>
    <cellStyle name="Čárka 2 3" xfId="714" xr:uid="{07FDD526-5C3D-4622-98A1-FAC1110517B1}"/>
    <cellStyle name="Čárka 2 4" xfId="1471" xr:uid="{0803D12E-F371-41C2-A412-D0DAB0E9DF5C}"/>
    <cellStyle name="Čárka 2 5" xfId="1889" xr:uid="{4557DDCA-AC25-4E7D-A20D-67C571E13417}"/>
    <cellStyle name="Celkem" xfId="57" xr:uid="{CDC2B6B3-1D68-4024-8170-57D92B62A826}"/>
    <cellStyle name="Chybně" xfId="58" xr:uid="{307CAFD2-4211-4632-9F7E-7EA0301BC55D}"/>
    <cellStyle name="Comma" xfId="2" builtinId="3"/>
    <cellStyle name="Comma [0]" xfId="2169" builtinId="6"/>
    <cellStyle name="Comma [0] 2" xfId="2176" xr:uid="{0D76355E-98A2-B54C-A97C-77D24FFC555A}"/>
    <cellStyle name="Comma 2" xfId="23" xr:uid="{7A0C4F20-28CD-48E6-BDA6-781BEE3373B7}"/>
    <cellStyle name="Comma 2 2" xfId="498" xr:uid="{C5A11EF5-CEF2-4D65-9422-4666AA92A742}"/>
    <cellStyle name="Comma 2 2 2" xfId="920" xr:uid="{78B20A24-6F6D-425F-A50D-A72BCA54FE35}"/>
    <cellStyle name="Comma 2 2 3" xfId="1677" xr:uid="{98630255-CACF-4179-A97B-3D5C8169CECE}"/>
    <cellStyle name="Comma 2 2 4" xfId="2095" xr:uid="{3FD29423-1EB0-4341-A9AF-AB0A58B19C89}"/>
    <cellStyle name="Comma 2 3" xfId="282" xr:uid="{62363428-1281-4F36-993C-70EB0CE6E200}"/>
    <cellStyle name="Comma 2 4" xfId="712" xr:uid="{0837550C-4FE9-4DB5-9042-2251F63B0C8B}"/>
    <cellStyle name="Comma 2 5" xfId="1469" xr:uid="{7469C4B2-B268-466B-BC2E-49C37BF49DAC}"/>
    <cellStyle name="Comma 2 6" xfId="1887" xr:uid="{DDEFAA9F-7544-4B28-82F6-BE1C5AB3C816}"/>
    <cellStyle name="Comma 2 7" xfId="2152" xr:uid="{5A062C7F-0796-4181-AD36-A41C343B5C14}"/>
    <cellStyle name="Comma 2_HEU_act" xfId="1016" xr:uid="{C33AB8E6-0ADF-45E0-82E6-34AB7446AFD5}"/>
    <cellStyle name="Comma 3" xfId="29" xr:uid="{BBCB6AF4-4E20-48CF-87A1-98DB8C4020ED}"/>
    <cellStyle name="Comma 3 2" xfId="294" xr:uid="{74AAFCE2-73D3-47CD-808E-1D3A91705F39}"/>
    <cellStyle name="Comma 3 2 2" xfId="507" xr:uid="{2AF67EA6-3B80-4F63-BFAB-139AE85D925F}"/>
    <cellStyle name="Comma 3 2 2 2" xfId="929" xr:uid="{8704A785-DE7D-44EB-9C50-D831E1FEE3CD}"/>
    <cellStyle name="Comma 3 2 2 3" xfId="1686" xr:uid="{ED0A14E3-91F2-42AC-AACB-A6077127B7F9}"/>
    <cellStyle name="Comma 3 2 2 4" xfId="2104" xr:uid="{85B8D28B-98A6-4647-B656-118409D7662D}"/>
    <cellStyle name="Comma 3 2 3" xfId="721" xr:uid="{2E6FD30D-48E1-405F-875E-7D3772F68B4B}"/>
    <cellStyle name="Comma 3 2 4" xfId="1478" xr:uid="{622182E6-3398-4637-BE4D-A98A87CC8340}"/>
    <cellStyle name="Comma 3 2 5" xfId="1896" xr:uid="{11EA9E73-7D43-4208-AF1B-C7E57557CDD4}"/>
    <cellStyle name="Comma 3 3" xfId="501" xr:uid="{37642DC0-59A3-4CE9-AD3C-0D55C1DB2900}"/>
    <cellStyle name="Comma 3 3 2" xfId="923" xr:uid="{C82ED4EF-1498-4B1F-9FEA-B77CA794D852}"/>
    <cellStyle name="Comma 3 3 3" xfId="1680" xr:uid="{7C09FC4E-0806-4771-92B6-F59478512CD8}"/>
    <cellStyle name="Comma 3 3 4" xfId="2098" xr:uid="{25512E8B-A7CB-4EFD-A957-113D19F692D1}"/>
    <cellStyle name="Comma 3 4" xfId="285" xr:uid="{6D193203-7B20-49CB-B4E8-677A17746A5B}"/>
    <cellStyle name="Comma 3 5" xfId="715" xr:uid="{E900DE5C-9429-41EA-BE51-42ABF5261247}"/>
    <cellStyle name="Comma 3 6" xfId="1472" xr:uid="{3EB67B79-C4CA-4F22-A8DD-E8DD6BC6C9CE}"/>
    <cellStyle name="Comma 3 7" xfId="1890" xr:uid="{7AD95D35-28EE-4656-89C2-F9E0FB2E73E2}"/>
    <cellStyle name="Comma 3_HEU_act" xfId="1017" xr:uid="{1CC2C678-A7EF-47A6-89B5-46A3AD28734B}"/>
    <cellStyle name="Comma 4" xfId="31" xr:uid="{6D2A346A-B66F-4CCD-8FF6-4CF3710BA3DB}"/>
    <cellStyle name="Comma 4 2" xfId="506" xr:uid="{5E594FE2-CB99-42FA-A169-2DE606FC1DA6}"/>
    <cellStyle name="Comma 4 2 2" xfId="928" xr:uid="{E0DC41C6-2AED-4C7D-B699-3B0E5335708A}"/>
    <cellStyle name="Comma 4 2 3" xfId="1685" xr:uid="{36A43B55-5D13-4EA3-A3A3-596043828512}"/>
    <cellStyle name="Comma 4 2 4" xfId="2103" xr:uid="{650A6B34-5410-4969-B604-65D5FB8AD001}"/>
    <cellStyle name="Comma 4 3" xfId="293" xr:uid="{12DF20F1-16A5-4224-85F1-99AE009D5CA6}"/>
    <cellStyle name="Comma 4 4" xfId="720" xr:uid="{5567193D-3167-496E-B825-78E1A6DB8D9C}"/>
    <cellStyle name="Comma 4 5" xfId="1477" xr:uid="{309E7A0D-1B97-4054-BD00-A0E46D666348}"/>
    <cellStyle name="Comma 4 6" xfId="1895" xr:uid="{B548344E-D5ED-4637-BC0A-0F28ECF035AF}"/>
    <cellStyle name="Comma 4_HEU_act" xfId="1018" xr:uid="{2797CC86-891E-40E0-95F3-6E95293F5C8B}"/>
    <cellStyle name="Comma 5" xfId="281" xr:uid="{E6D8D0F0-5D84-4BFD-9A80-9CFE9472229E}"/>
    <cellStyle name="Comma 5 2" xfId="497" xr:uid="{783E346D-31CD-44CC-BBB6-CAF276EC45F2}"/>
    <cellStyle name="Comma 5 2 2" xfId="919" xr:uid="{507C9820-B94C-4304-8EA1-DE973F05A6A3}"/>
    <cellStyle name="Comma 5 2 3" xfId="1676" xr:uid="{7F59FEE5-C45D-4708-83B2-DDAD5A479293}"/>
    <cellStyle name="Comma 5 2 4" xfId="2094" xr:uid="{14FF5DF6-0A92-4CD6-9209-D590758D9EB7}"/>
    <cellStyle name="Comma 5 3" xfId="711" xr:uid="{5B2DECC7-CF8C-471E-B396-8D03F6671DAE}"/>
    <cellStyle name="Comma 5 4" xfId="1468" xr:uid="{E9B25B45-C612-4B6D-96AC-B6E2EC30FBB9}"/>
    <cellStyle name="Comma 5 5" xfId="1886" xr:uid="{BC4B32E2-6665-41BE-AE40-729A1020955B}"/>
    <cellStyle name="Comma 6" xfId="312" xr:uid="{D2FD1897-2FC0-4BE3-A480-257E770BBF71}"/>
    <cellStyle name="Comma 6 2" xfId="521" xr:uid="{151E1D6C-A51C-47CC-9A3A-2766CF5E763B}"/>
    <cellStyle name="Comma 7" xfId="32" xr:uid="{ABFA93EA-ECFD-4D1D-B385-56286CF9AEF7}"/>
    <cellStyle name="Comma 8" xfId="2174" xr:uid="{E38717B1-A119-AE49-B2ED-58333ECC6A04}"/>
    <cellStyle name="Currency 2" xfId="25" xr:uid="{252FBEAB-327A-4D17-A9E3-AE995377EFDA}"/>
    <cellStyle name="Devider" xfId="59" xr:uid="{87608E85-7021-40C5-83CD-7D81021013F7}"/>
    <cellStyle name="EYHeader1" xfId="21" xr:uid="{D6D41BD8-1994-48EA-8B7A-D4BF3CD47C18}"/>
    <cellStyle name="fo]_x000d__x000a_UserName=Murat Zelef_x000d__x000a_UserCompany=Bumerang_x000d__x000a__x000d__x000a_[File Paths]_x000d__x000a_WorkingDirectory=C:\EQUIS\DLWIN_x000d__x000a_DownLoader=C" xfId="1" xr:uid="{A51FC1F6-D561-4042-AE0E-93A4595DC6AF}"/>
    <cellStyle name="Hard coded input" xfId="284" xr:uid="{301D1AEE-EF6B-46DB-AF62-B03C4CDB55C7}"/>
    <cellStyle name="Heading 1" xfId="2170" builtinId="16" hidden="1"/>
    <cellStyle name="Hyperlink 2" xfId="6" xr:uid="{6B34E748-7880-4CA9-89EC-C50090BE22D4}"/>
    <cellStyle name="Komma 2" xfId="2132" xr:uid="{9E9C4626-C8E0-4A5A-BFB8-CFE8D7A51F9C}"/>
    <cellStyle name="Komma 3" xfId="26" xr:uid="{D7F55809-E2C5-4826-9BFF-75EF323C8D95}"/>
    <cellStyle name="Komma 4" xfId="2135" xr:uid="{159A6727-0B4D-4CE9-9500-B1165540858F}"/>
    <cellStyle name="Link" xfId="500" xr:uid="{8C6ACD68-65DB-4C70-8E46-047E32F41957}"/>
    <cellStyle name="Nadpis 1" xfId="60" xr:uid="{C36CC97B-9732-417C-8DFF-272324D2BCB9}"/>
    <cellStyle name="Nadpis 2" xfId="61" xr:uid="{D67549EF-4D78-4202-BC8D-B86C5E0ADD42}"/>
    <cellStyle name="Nadpis 3" xfId="62" xr:uid="{EA6474C3-EB0F-49B2-A622-B129A6C95119}"/>
    <cellStyle name="Nadpis 4" xfId="63" xr:uid="{65818DF1-FA0A-41BD-B5AE-3A7394EB4735}"/>
    <cellStyle name="Navadno 2" xfId="93" xr:uid="{8073918A-F367-4B75-B964-FBD93AC7547F}"/>
    <cellStyle name="Navadno 3" xfId="98" xr:uid="{1D96ACE2-2EE0-424B-A17A-328F496C6C3B}"/>
    <cellStyle name="Navadno 3 2" xfId="125" xr:uid="{A1646C1D-EFE7-4ABB-B254-890251519936}"/>
    <cellStyle name="Navadno 3 2 2" xfId="202" xr:uid="{BB263DD1-5F0A-45F6-BD86-2E7A0C659D3A}"/>
    <cellStyle name="Navadno 3 2 2 2" xfId="419" xr:uid="{DF415C2A-B125-41FB-A448-D64DD55B0B57}"/>
    <cellStyle name="Navadno 3 2 2 2 2" xfId="841" xr:uid="{0ABA1D1B-4B96-42DE-A5B1-C298B2302C3B}"/>
    <cellStyle name="Navadno 3 2 2 2 3" xfId="1598" xr:uid="{0686F08E-9856-42A4-BA20-FDCD8B5913EF}"/>
    <cellStyle name="Navadno 3 2 2 2 4" xfId="2016" xr:uid="{E0B4E57C-1436-4A94-B00E-BBFAFDC4528A}"/>
    <cellStyle name="Navadno 3 2 2 2_HEU_act" xfId="1022" xr:uid="{9F3B6AEB-82FF-46EC-8269-F8099DDF8529}"/>
    <cellStyle name="Navadno 3 2 2 3" xfId="633" xr:uid="{59B22937-E8F8-4E5C-8E41-58F391A05138}"/>
    <cellStyle name="Navadno 3 2 2 4" xfId="1390" xr:uid="{D0E9CA60-C56F-4BED-9EA0-BF5DE9B2CF8A}"/>
    <cellStyle name="Navadno 3 2 2 5" xfId="1808" xr:uid="{56A7F24D-DE09-449E-91FE-282218C9E8F9}"/>
    <cellStyle name="Navadno 3 2 2_HEU_act" xfId="1021" xr:uid="{731C2805-A663-4C71-B7DF-5484AADCFC6A}"/>
    <cellStyle name="Navadno 3 2 3" xfId="263" xr:uid="{5CA74719-EED2-424E-8FDD-E49C727662F1}"/>
    <cellStyle name="Navadno 3 2 3 2" xfId="480" xr:uid="{F60683E2-EFBD-4F68-B2B2-B6906D440529}"/>
    <cellStyle name="Navadno 3 2 3 2 2" xfId="902" xr:uid="{A8F3221B-47AE-4A60-95AC-DC5FB1C1B99A}"/>
    <cellStyle name="Navadno 3 2 3 2 3" xfId="1659" xr:uid="{9CB20701-F9D2-437A-A3FD-61D8F8D1C01C}"/>
    <cellStyle name="Navadno 3 2 3 2 4" xfId="2077" xr:uid="{5E074DD6-A7A2-4B29-B570-16307CF50C88}"/>
    <cellStyle name="Navadno 3 2 3 2_HEU_act" xfId="1024" xr:uid="{1E645EBE-75FD-44F1-9FFD-C22700C26B77}"/>
    <cellStyle name="Navadno 3 2 3 3" xfId="694" xr:uid="{05251732-08CA-4E82-9EB6-1137D069C602}"/>
    <cellStyle name="Navadno 3 2 3 4" xfId="1451" xr:uid="{F6DC1FB4-189B-4C4D-9354-F98F70732F3E}"/>
    <cellStyle name="Navadno 3 2 3 5" xfId="1869" xr:uid="{1F91D4D1-A6D7-4C3D-AD85-FDC9C2D0BECE}"/>
    <cellStyle name="Navadno 3 2 3_HEU_act" xfId="1023" xr:uid="{214CB765-E5A4-4E59-B5F2-86203367DBD0}"/>
    <cellStyle name="Navadno 3 2 4" xfId="358" xr:uid="{8AC32E52-C958-401D-A06D-803F1BBE1D9A}"/>
    <cellStyle name="Navadno 3 2 4 2" xfId="780" xr:uid="{9981D1D6-118B-4D3F-9D70-23D22B7FB2B8}"/>
    <cellStyle name="Navadno 3 2 4 3" xfId="1537" xr:uid="{DB099902-0BE4-42B9-878C-013D77DE7823}"/>
    <cellStyle name="Navadno 3 2 4 4" xfId="1955" xr:uid="{895EF2B8-C400-436D-B601-AF9DCE78C1AA}"/>
    <cellStyle name="Navadno 3 2 4_HEU_act" xfId="1025" xr:uid="{BAE367E8-C1B8-4DEE-A87C-F0414CBCC719}"/>
    <cellStyle name="Navadno 3 2 5" xfId="572" xr:uid="{D41375EE-70FC-4B2C-B781-A8D1A56F8F19}"/>
    <cellStyle name="Navadno 3 2 6" xfId="1329" xr:uid="{18C06182-155A-4A6C-A9B0-188B487E8B68}"/>
    <cellStyle name="Navadno 3 2 7" xfId="1747" xr:uid="{CE6D56B8-FF31-4247-82A8-93D1212A173F}"/>
    <cellStyle name="Navadno 3 2_HEU_act" xfId="1020" xr:uid="{9E2CEC1A-604A-407B-A14B-D904BE4EB97E}"/>
    <cellStyle name="Navadno 3 3" xfId="139" xr:uid="{D045DC80-0654-423F-AF0B-7CE28874D733}"/>
    <cellStyle name="Navadno 3 3 2" xfId="216" xr:uid="{33384460-4251-4D8D-9F7C-AA7A76E894D9}"/>
    <cellStyle name="Navadno 3 3 2 2" xfId="433" xr:uid="{435F3F1D-86C8-4FF0-8BE0-5A799F051AEF}"/>
    <cellStyle name="Navadno 3 3 2 2 2" xfId="855" xr:uid="{36D80F60-37F8-4B50-B87F-7555EF5F3EBB}"/>
    <cellStyle name="Navadno 3 3 2 2 3" xfId="1612" xr:uid="{58DD0DD6-4369-4915-8F4B-1CB2433C43BE}"/>
    <cellStyle name="Navadno 3 3 2 2 4" xfId="2030" xr:uid="{BFDA8D29-23CB-4F76-9A67-4834F9FB6F96}"/>
    <cellStyle name="Navadno 3 3 2 2_HEU_act" xfId="1028" xr:uid="{47D8B7A5-4310-4D3A-9248-1909D83C3C68}"/>
    <cellStyle name="Navadno 3 3 2 3" xfId="647" xr:uid="{EE835BD4-6CD2-4023-A6D2-EF4ECDEFBDFE}"/>
    <cellStyle name="Navadno 3 3 2 4" xfId="1404" xr:uid="{8642D159-D26C-4CC5-8676-5CC99BFF1A73}"/>
    <cellStyle name="Navadno 3 3 2 5" xfId="1822" xr:uid="{0BC13813-586C-4DD4-AB5B-2C0CE4822D97}"/>
    <cellStyle name="Navadno 3 3 2_HEU_act" xfId="1027" xr:uid="{43926C3E-B1D4-47B6-87B1-3BBD1C82FFC5}"/>
    <cellStyle name="Navadno 3 3 3" xfId="277" xr:uid="{FD4DABFE-021E-455C-9348-899822990B08}"/>
    <cellStyle name="Navadno 3 3 3 2" xfId="494" xr:uid="{1F95D98F-3D7F-4B30-BE26-3044FF5889BC}"/>
    <cellStyle name="Navadno 3 3 3 2 2" xfId="916" xr:uid="{2F3F5558-B5FB-4AFC-A3B1-71E771CB9F4F}"/>
    <cellStyle name="Navadno 3 3 3 2 3" xfId="1673" xr:uid="{CC8AA07C-49D4-4A5B-864A-0D6C41C5FD6E}"/>
    <cellStyle name="Navadno 3 3 3 2 4" xfId="2091" xr:uid="{06B022C0-100D-458E-B49E-4F075543CED1}"/>
    <cellStyle name="Navadno 3 3 3 2_HEU_act" xfId="1030" xr:uid="{7D3FD072-4EE1-432D-B76A-2C3649BD0E1F}"/>
    <cellStyle name="Navadno 3 3 3 3" xfId="708" xr:uid="{9AC9667B-B077-4300-9927-7BEB6D48352F}"/>
    <cellStyle name="Navadno 3 3 3 4" xfId="1465" xr:uid="{9403F40B-4BC1-4CFC-A043-D505B8633E30}"/>
    <cellStyle name="Navadno 3 3 3 5" xfId="1883" xr:uid="{F0C22911-441B-4D87-A6ED-1C825B9B0BEF}"/>
    <cellStyle name="Navadno 3 3 3_HEU_act" xfId="1029" xr:uid="{D0A4A3AB-ED94-4646-B468-21F9EBA6D20F}"/>
    <cellStyle name="Navadno 3 3 4" xfId="372" xr:uid="{877C0D02-7467-4FD5-ACF4-953F9CEE0C95}"/>
    <cellStyle name="Navadno 3 3 4 2" xfId="794" xr:uid="{A3A186AE-4AC6-4B44-A993-D7228345F6E3}"/>
    <cellStyle name="Navadno 3 3 4 3" xfId="1551" xr:uid="{1D29ECAA-7C01-4491-A99F-462EF905A66D}"/>
    <cellStyle name="Navadno 3 3 4 4" xfId="1969" xr:uid="{07B44ED2-C309-4C68-AF01-EA0F2B19D259}"/>
    <cellStyle name="Navadno 3 3 4_HEU_act" xfId="1031" xr:uid="{7EBDF261-56A6-49B8-85AB-EE739BA63EC1}"/>
    <cellStyle name="Navadno 3 3 5" xfId="586" xr:uid="{F5EFB721-6A6C-4AEB-9720-8EA59C47CE11}"/>
    <cellStyle name="Navadno 3 3 6" xfId="1343" xr:uid="{459EFD8C-89C4-4275-AD02-91137E5EF583}"/>
    <cellStyle name="Navadno 3 3 7" xfId="1761" xr:uid="{161DE8CE-1F32-4FCD-B9D5-0C441088C125}"/>
    <cellStyle name="Navadno 3 3_HEU_act" xfId="1026" xr:uid="{D934A41B-84B2-4DBB-ADCE-464FCEB04B61}"/>
    <cellStyle name="Navadno 3 4" xfId="188" xr:uid="{3DBCE55D-F94E-412E-86ED-F65475FA708A}"/>
    <cellStyle name="Navadno 3 4 2" xfId="307" xr:uid="{F8642EAA-E435-45EA-A78E-28E118883F18}"/>
    <cellStyle name="Navadno 3 4 2 2" xfId="519" xr:uid="{98D1DFA5-5BE8-4585-91DD-AD350C1D7DD3}"/>
    <cellStyle name="Navadno 3 4 2 2 2" xfId="941" xr:uid="{32DCB5E1-02C9-4585-90F4-DB7EC9097507}"/>
    <cellStyle name="Navadno 3 4 2 2 3" xfId="1698" xr:uid="{22A71B6E-D676-4F02-A7D6-817744F62A22}"/>
    <cellStyle name="Navadno 3 4 2 2 4" xfId="2116" xr:uid="{4FC2AA8C-3B45-4BAC-89F1-D89166F1BFBB}"/>
    <cellStyle name="Navadno 3 4 2 2_HEU_act" xfId="1034" xr:uid="{76B8CB51-DD55-48CA-A421-10F15BA0BF97}"/>
    <cellStyle name="Navadno 3 4 2 3" xfId="733" xr:uid="{EDB12D1F-00E6-47BB-AB25-E4F5E674F7E8}"/>
    <cellStyle name="Navadno 3 4 2 4" xfId="1490" xr:uid="{34B7E51B-45F7-4606-8774-FE77AF6843BC}"/>
    <cellStyle name="Navadno 3 4 2 5" xfId="1908" xr:uid="{56B5A1EA-6799-49BF-B475-62B73C29CD2C}"/>
    <cellStyle name="Navadno 3 4 2_HEU_act" xfId="1033" xr:uid="{DB929A06-2DD0-4797-9E9B-9296B0BF63F7}"/>
    <cellStyle name="Navadno 3 4 3" xfId="405" xr:uid="{75334EAC-7D0C-4BC8-B5A0-92E3404B66DC}"/>
    <cellStyle name="Navadno 3 4 3 2" xfId="827" xr:uid="{BD428999-574C-4C87-8FEB-C794753E8869}"/>
    <cellStyle name="Navadno 3 4 3 3" xfId="1584" xr:uid="{605571E3-FA18-4866-96A8-BCDCE14971FE}"/>
    <cellStyle name="Navadno 3 4 3 4" xfId="2002" xr:uid="{626BAF8D-B15D-456E-A5C0-0F944E7D4ABB}"/>
    <cellStyle name="Navadno 3 4 3_HEU_act" xfId="1035" xr:uid="{E18807E9-1875-4CF3-BB1D-083119BFAFF1}"/>
    <cellStyle name="Navadno 3 4 4" xfId="619" xr:uid="{D13E8443-258D-48B8-89A5-52F21FC6CC6B}"/>
    <cellStyle name="Navadno 3 4 5" xfId="1376" xr:uid="{19945959-5C7C-42EF-88F3-B5313770E055}"/>
    <cellStyle name="Navadno 3 4 6" xfId="1794" xr:uid="{2B6ABCB4-CFD1-4389-8E21-6C375C05CA32}"/>
    <cellStyle name="Navadno 3 4_HEU_act" xfId="1032" xr:uid="{D26CF2F6-D336-43EA-BF50-11ABB9C041D2}"/>
    <cellStyle name="Navadno 3 5" xfId="249" xr:uid="{999826F0-7C08-4526-ABA0-DDA742889C83}"/>
    <cellStyle name="Navadno 3 5 2" xfId="466" xr:uid="{B5D4DD5E-E900-45D5-8B87-A95827CE3042}"/>
    <cellStyle name="Navadno 3 5 2 2" xfId="888" xr:uid="{148D0F88-D813-44F1-AC6E-26E338558899}"/>
    <cellStyle name="Navadno 3 5 2 3" xfId="1645" xr:uid="{4ABE0DA1-1885-4409-BA61-E54D8217B23D}"/>
    <cellStyle name="Navadno 3 5 2 4" xfId="2063" xr:uid="{4A52F68F-6F24-48A4-8AF3-642F6D87971F}"/>
    <cellStyle name="Navadno 3 5 2_HEU_act" xfId="1037" xr:uid="{79DB7418-061E-43D1-80EE-AA4242DAE1D5}"/>
    <cellStyle name="Navadno 3 5 3" xfId="680" xr:uid="{C06EF8E2-63FC-437D-B60E-095545EE45A6}"/>
    <cellStyle name="Navadno 3 5 4" xfId="1437" xr:uid="{8C011315-7136-43F7-9592-0D12140691DB}"/>
    <cellStyle name="Navadno 3 5 5" xfId="1855" xr:uid="{4C0CDE80-CE77-4197-8AB7-C2D3EDCFC373}"/>
    <cellStyle name="Navadno 3 5_HEU_act" xfId="1036" xr:uid="{0314E8C7-09D9-4FFB-B9B2-09E6261B8F62}"/>
    <cellStyle name="Navadno 3 6" xfId="344" xr:uid="{1A99AB0A-0D37-41D6-953A-B365E0D66430}"/>
    <cellStyle name="Navadno 3 6 2" xfId="766" xr:uid="{7159139A-D05F-41F9-9AAF-7FA25F9B898F}"/>
    <cellStyle name="Navadno 3 6 3" xfId="1523" xr:uid="{ED6100D6-8C7E-4B83-A221-F22B2242980B}"/>
    <cellStyle name="Navadno 3 6 4" xfId="1941" xr:uid="{EF25B7B5-B4E6-4426-B4F2-ACC5A4D39EFE}"/>
    <cellStyle name="Navadno 3 6_HEU_act" xfId="1038" xr:uid="{D4EB64CC-CD77-46FE-8FC0-2051441C9127}"/>
    <cellStyle name="Navadno 3 7" xfId="558" xr:uid="{E8D31989-B623-4FAE-9B0D-7B3655B35A11}"/>
    <cellStyle name="Navadno 3 8" xfId="1315" xr:uid="{2C179BE9-D9EA-47CB-909F-49A5D068C18F}"/>
    <cellStyle name="Navadno 3 9" xfId="1733" xr:uid="{E74D93E7-AAAF-44D4-A17E-F3659C29AB1D}"/>
    <cellStyle name="Navadno 3_HEU_act" xfId="1019" xr:uid="{19415119-3E0C-4B5D-8025-7564B09CA364}"/>
    <cellStyle name="Navadno 4" xfId="140" xr:uid="{0D43FC3F-C714-4BDD-BB8D-9343F99620AF}"/>
    <cellStyle name="Navadno 4 2" xfId="217" xr:uid="{BDEA6698-8EF6-4E57-A0DC-D80D4B2B54D6}"/>
    <cellStyle name="Navadno 4 2 2" xfId="308" xr:uid="{F109577B-BAD4-4FCA-B926-017AE6B2B722}"/>
    <cellStyle name="Navadno 4 2 2 2" xfId="520" xr:uid="{69F6A96B-B5F7-4119-ABB5-6D7671C151C8}"/>
    <cellStyle name="Navadno 4 2 2 2 2" xfId="942" xr:uid="{3C2F2D3F-C9CC-4E93-B126-1AA51F72247B}"/>
    <cellStyle name="Navadno 4 2 2 2 3" xfId="1699" xr:uid="{8AC5ECAC-EC34-448D-8738-54FEF2806EFD}"/>
    <cellStyle name="Navadno 4 2 2 2 4" xfId="2117" xr:uid="{41295730-C375-4D10-9BD9-2B0ABB1D19A9}"/>
    <cellStyle name="Navadno 4 2 2 2_HEU_act" xfId="1042" xr:uid="{D2A89442-1508-4F7F-B46E-C22EF8914C5A}"/>
    <cellStyle name="Navadno 4 2 2 3" xfId="734" xr:uid="{64063F37-D855-4F8D-9A36-08BB4A80BA1E}"/>
    <cellStyle name="Navadno 4 2 2 4" xfId="1491" xr:uid="{E54D8C4B-6B29-483C-838C-7336741BC07C}"/>
    <cellStyle name="Navadno 4 2 2 5" xfId="1909" xr:uid="{DDFED34F-153B-4C4C-BA55-1291A627F875}"/>
    <cellStyle name="Navadno 4 2 2_HEU_act" xfId="1041" xr:uid="{DA0CAA45-4F57-4034-9F3C-96260A41BB93}"/>
    <cellStyle name="Navadno 4 2 3" xfId="434" xr:uid="{DEC50288-7ACE-4821-8541-A1A9931F2433}"/>
    <cellStyle name="Navadno 4 2 3 2" xfId="856" xr:uid="{7F44F3EB-2F60-463F-AAC0-5EBFCEB11496}"/>
    <cellStyle name="Navadno 4 2 3 3" xfId="1613" xr:uid="{1EC06336-2DD8-42AC-AC07-73293CFA7703}"/>
    <cellStyle name="Navadno 4 2 3 4" xfId="2031" xr:uid="{5250FF81-5B26-43D9-8952-1D91992E6E39}"/>
    <cellStyle name="Navadno 4 2 3_HEU_act" xfId="1043" xr:uid="{DF39241E-D96F-4507-B0F0-A609A851A4A6}"/>
    <cellStyle name="Navadno 4 2 4" xfId="648" xr:uid="{59B49974-96CC-4B0F-8D24-7687D7F562A3}"/>
    <cellStyle name="Navadno 4 2 5" xfId="1405" xr:uid="{93934260-9FC4-4787-9E8F-03586617603F}"/>
    <cellStyle name="Navadno 4 2 6" xfId="1823" xr:uid="{50B9E723-D1D3-4B94-A49B-CEE3B1D6429D}"/>
    <cellStyle name="Navadno 4 2_HEU_act" xfId="1040" xr:uid="{85887508-B1BE-42B7-8C5F-EFDB0D93EB00}"/>
    <cellStyle name="Navadno 4 3" xfId="278" xr:uid="{D447E858-3A7F-47E7-BEF3-8913C670B494}"/>
    <cellStyle name="Navadno 4 3 2" xfId="495" xr:uid="{A2E3FD22-FC78-4129-AF80-11B743D44425}"/>
    <cellStyle name="Navadno 4 3 2 2" xfId="917" xr:uid="{570E5EC7-F9E7-4EC1-B6E2-56FF85CD5562}"/>
    <cellStyle name="Navadno 4 3 2 3" xfId="1674" xr:uid="{66E16954-F6AB-4CF3-99E3-A8B8F5142651}"/>
    <cellStyle name="Navadno 4 3 2 4" xfId="2092" xr:uid="{418046D0-4346-453B-BDDD-31574EF75822}"/>
    <cellStyle name="Navadno 4 3 2_HEU_act" xfId="1045" xr:uid="{038629CA-6518-45D0-A894-29A9B46CDCA4}"/>
    <cellStyle name="Navadno 4 3 3" xfId="709" xr:uid="{1B20D5C2-8C21-4B81-BA44-8481F5A9DC9B}"/>
    <cellStyle name="Navadno 4 3 4" xfId="1466" xr:uid="{19C237CD-3CFA-4847-8386-1C4FED2A7FC7}"/>
    <cellStyle name="Navadno 4 3 5" xfId="1884" xr:uid="{625126A4-1E78-4E4B-A64B-B0952D40F6BA}"/>
    <cellStyle name="Navadno 4 3_HEU_act" xfId="1044" xr:uid="{62B5A244-83B1-47C3-B0FF-0E646CA0E316}"/>
    <cellStyle name="Navadno 4 4" xfId="373" xr:uid="{043E45E9-5E03-4DE3-B375-1789D6E1DB65}"/>
    <cellStyle name="Navadno 4 4 2" xfId="795" xr:uid="{C4EBD473-1B11-41EC-B07D-437958654D99}"/>
    <cellStyle name="Navadno 4 4 3" xfId="1552" xr:uid="{E7C1F2B7-136C-4047-8CE9-0ED277FDE999}"/>
    <cellStyle name="Navadno 4 4 4" xfId="1970" xr:uid="{E174396A-EF66-400B-BA83-B91122BF0E15}"/>
    <cellStyle name="Navadno 4 4_HEU_act" xfId="1046" xr:uid="{A7DC0535-7866-4581-BA58-5919DD74B644}"/>
    <cellStyle name="Navadno 4 5" xfId="587" xr:uid="{4EC65D81-572F-40E8-88E5-DB63AB9CF109}"/>
    <cellStyle name="Navadno 4 6" xfId="1344" xr:uid="{AD35A450-FB1A-4759-AA70-11A1E4703531}"/>
    <cellStyle name="Navadno 4 7" xfId="1762" xr:uid="{058A565D-1E96-41EE-8F36-45B0EFFCE485}"/>
    <cellStyle name="Navadno 4_HEU_act" xfId="1039" xr:uid="{2812979F-2B5C-4743-A7ED-33A50B5D067E}"/>
    <cellStyle name="Název" xfId="64" xr:uid="{493B7EBB-B9D0-4C9D-88EA-4AB0732E3797}"/>
    <cellStyle name="Neutrální" xfId="65" xr:uid="{76051C66-ED51-478C-A80E-19D02E978E5A}"/>
    <cellStyle name="Normal" xfId="0" builtinId="0" customBuiltin="1"/>
    <cellStyle name="Normal 10" xfId="944" xr:uid="{5100D558-90CC-4EC6-BF9F-644B4C45A137}"/>
    <cellStyle name="Normal 10 2" xfId="2154" xr:uid="{16935966-8674-499E-86BE-EE05031AFA87}"/>
    <cellStyle name="Normal 11" xfId="2118" xr:uid="{1A0C5EDE-C090-4C7A-BF46-C1B249DFB121}"/>
    <cellStyle name="Normal 12" xfId="2120" xr:uid="{2B1E81DE-8FAA-4291-B042-94EA22B55C87}"/>
    <cellStyle name="Normal 13" xfId="2121" xr:uid="{0732AA9F-F857-450C-B6CC-1AB9AEDD7066}"/>
    <cellStyle name="Normal 14" xfId="2146" xr:uid="{92C8D2CE-5B30-4273-A96D-6323167E0172}"/>
    <cellStyle name="Normal 2" xfId="9" xr:uid="{D452C6E3-BE59-43D6-B2A3-271A18A6AB7A}"/>
    <cellStyle name="Normal 2 10" xfId="1716" xr:uid="{F4BF38F5-B229-4F5C-8709-5E721E9EC36C}"/>
    <cellStyle name="Normal 2 11" xfId="2124" xr:uid="{65DD14D0-4A34-4528-8A0C-6535428B2D71}"/>
    <cellStyle name="Normal 2 12" xfId="2138" xr:uid="{61760DA0-522D-461B-8B4C-370A0F7A4B38}"/>
    <cellStyle name="Normal 2 13" xfId="2145" xr:uid="{CA16EB7D-8356-40F7-AF54-CD68186F507C}"/>
    <cellStyle name="Normal 2 14" xfId="2151" xr:uid="{6975247D-7267-4851-8AF4-CD6BAC1B5A3C}"/>
    <cellStyle name="Normal 2 2" xfId="82" xr:uid="{1E50550C-7B33-4762-961C-C033920D592A}"/>
    <cellStyle name="Normal 2 2 10" xfId="543" xr:uid="{4FF3EF6F-E662-4462-B689-1A4C39276FC2}"/>
    <cellStyle name="Normal 2 2 11" xfId="1300" xr:uid="{7EFF3C5B-C5B9-4FF9-958B-47D13D74895A}"/>
    <cellStyle name="Normal 2 2 12" xfId="1718" xr:uid="{144A85B3-575A-4421-B81F-8E2B3D38C73C}"/>
    <cellStyle name="Normal 2 2 13" xfId="2153" xr:uid="{C03680ED-1122-483B-952A-9F51DF0E5F39}"/>
    <cellStyle name="Normal 2 2 2" xfId="89" xr:uid="{1F1D7F6D-3364-4504-9FF6-ECE5B30883BF}"/>
    <cellStyle name="Normal 2 2 2 2" xfId="117" xr:uid="{19C4C02B-000C-4805-8804-A9E66A59CD67}"/>
    <cellStyle name="Normal 2 2 2 2 2" xfId="194" xr:uid="{688A6469-76EB-438E-9D4E-30B85F122B85}"/>
    <cellStyle name="Normal 2 2 2 2 2 2" xfId="411" xr:uid="{89640A03-2839-4193-A9D9-6EC3EC1A0BEC}"/>
    <cellStyle name="Normal 2 2 2 2 2 2 2" xfId="833" xr:uid="{5A585DE8-8328-4514-85AF-1111C812A7AA}"/>
    <cellStyle name="Normal 2 2 2 2 2 2 3" xfId="1590" xr:uid="{88C1FC15-FCF1-4C91-873D-2CA1F221A855}"/>
    <cellStyle name="Normal 2 2 2 2 2 2 4" xfId="2008" xr:uid="{81EEF7CD-875B-4660-BF98-D6D1EC0A273B}"/>
    <cellStyle name="Normal 2 2 2 2 2 2_HEU_act" xfId="1052" xr:uid="{8FA5708D-74A8-4680-BFA9-B64F67E44999}"/>
    <cellStyle name="Normal 2 2 2 2 2 3" xfId="625" xr:uid="{D52C8CC6-EF7C-40C2-B6CE-29D214485EBE}"/>
    <cellStyle name="Normal 2 2 2 2 2 4" xfId="1382" xr:uid="{479C1DF0-B03B-4738-A713-C5C76729FD01}"/>
    <cellStyle name="Normal 2 2 2 2 2 5" xfId="1800" xr:uid="{47501CF3-289E-44A2-9AF5-2429BFBAB9F1}"/>
    <cellStyle name="Normal 2 2 2 2 2_HEU_act" xfId="1051" xr:uid="{9F71231F-649E-410A-B9B0-D40473B05D71}"/>
    <cellStyle name="Normal 2 2 2 2 3" xfId="255" xr:uid="{B1463E36-572A-48C5-9FB3-FFDE0A9F449E}"/>
    <cellStyle name="Normal 2 2 2 2 3 2" xfId="472" xr:uid="{2CC1DFE5-9D32-4D18-9362-E85004D3E838}"/>
    <cellStyle name="Normal 2 2 2 2 3 2 2" xfId="894" xr:uid="{9C6CF24A-437C-41D5-9F01-2454836FD2CD}"/>
    <cellStyle name="Normal 2 2 2 2 3 2 3" xfId="1651" xr:uid="{35460978-A02E-49DF-AB6C-862465E43549}"/>
    <cellStyle name="Normal 2 2 2 2 3 2 4" xfId="2069" xr:uid="{A21EA1BF-853D-4795-B684-098863CA4DCD}"/>
    <cellStyle name="Normal 2 2 2 2 3 2_HEU_act" xfId="1054" xr:uid="{81180F94-3FF3-4B2E-B7A1-512E34BE2342}"/>
    <cellStyle name="Normal 2 2 2 2 3 3" xfId="686" xr:uid="{DA1F7C1C-6F7B-4962-8C75-69994A672A02}"/>
    <cellStyle name="Normal 2 2 2 2 3 4" xfId="1443" xr:uid="{54E4F37F-7EA8-48C0-A0AE-10B7D39ECD17}"/>
    <cellStyle name="Normal 2 2 2 2 3 5" xfId="1861" xr:uid="{1F086733-CC96-4D03-AAC0-80D46C2E812A}"/>
    <cellStyle name="Normal 2 2 2 2 3_HEU_act" xfId="1053" xr:uid="{82657482-CBCA-4219-9168-813E67EB17B7}"/>
    <cellStyle name="Normal 2 2 2 2 4" xfId="350" xr:uid="{EBBA315C-A823-4E4D-B6C0-7A3D567B727A}"/>
    <cellStyle name="Normal 2 2 2 2 4 2" xfId="772" xr:uid="{50916637-177D-4B62-9C7E-BC1C6A36DF0D}"/>
    <cellStyle name="Normal 2 2 2 2 4 3" xfId="1529" xr:uid="{751368E9-9E2D-4BB9-B471-7C874C489806}"/>
    <cellStyle name="Normal 2 2 2 2 4 4" xfId="1947" xr:uid="{14180B30-D00E-4033-9940-BEC90E708434}"/>
    <cellStyle name="Normal 2 2 2 2 4_HEU_act" xfId="1055" xr:uid="{14F4BFB8-30A1-4BEB-B8D5-4CFB59DB6B77}"/>
    <cellStyle name="Normal 2 2 2 2 5" xfId="564" xr:uid="{DE1CB7EA-F498-4A16-8E9F-51A9D5D7C223}"/>
    <cellStyle name="Normal 2 2 2 2 6" xfId="1321" xr:uid="{F251EDC1-2259-4E0E-AAF8-68DE8D68B023}"/>
    <cellStyle name="Normal 2 2 2 2 7" xfId="1739" xr:uid="{A6C3E194-6114-479E-9E29-746F62974EC5}"/>
    <cellStyle name="Normal 2 2 2 2_HEU_act" xfId="1050" xr:uid="{2CA2538E-287F-4536-9879-1153A1AED4D9}"/>
    <cellStyle name="Normal 2 2 2 3" xfId="131" xr:uid="{3A744EF7-C1E4-4950-92B5-57CAE7740373}"/>
    <cellStyle name="Normal 2 2 2 3 2" xfId="208" xr:uid="{F5E88A96-4FF2-4D2E-9DA6-6AA777C89265}"/>
    <cellStyle name="Normal 2 2 2 3 2 2" xfId="425" xr:uid="{84468D5D-E268-4464-A180-A4C43424E978}"/>
    <cellStyle name="Normal 2 2 2 3 2 2 2" xfId="847" xr:uid="{B2CA9E19-8FC7-4955-AD09-4A2A1864AC55}"/>
    <cellStyle name="Normal 2 2 2 3 2 2 3" xfId="1604" xr:uid="{CAE79CBA-22C2-4F40-8CE9-18585A7C16F3}"/>
    <cellStyle name="Normal 2 2 2 3 2 2 4" xfId="2022" xr:uid="{7E2765EA-BDE4-4C96-B15A-5C48F3A63EB7}"/>
    <cellStyle name="Normal 2 2 2 3 2 2_HEU_act" xfId="1058" xr:uid="{AD83905C-8EBE-4F7D-93E7-8194A7C0C4A8}"/>
    <cellStyle name="Normal 2 2 2 3 2 3" xfId="639" xr:uid="{3907B370-E402-4C09-9E71-5758A41B8264}"/>
    <cellStyle name="Normal 2 2 2 3 2 4" xfId="1396" xr:uid="{DB5F882E-C460-4C28-9888-2F497968C7DE}"/>
    <cellStyle name="Normal 2 2 2 3 2 5" xfId="1814" xr:uid="{0DE6FF47-21B2-444C-AE5D-931FB93ADEB8}"/>
    <cellStyle name="Normal 2 2 2 3 2_HEU_act" xfId="1057" xr:uid="{CEDA438B-C681-4819-B529-CFEC23470984}"/>
    <cellStyle name="Normal 2 2 2 3 3" xfId="269" xr:uid="{947FB66A-5A9E-438B-9DA5-A523780FE08E}"/>
    <cellStyle name="Normal 2 2 2 3 3 2" xfId="486" xr:uid="{8159B62F-60B1-4E7F-BDE0-7F44BDEF3E8A}"/>
    <cellStyle name="Normal 2 2 2 3 3 2 2" xfId="908" xr:uid="{40866D51-92A2-4162-862B-1BF444338659}"/>
    <cellStyle name="Normal 2 2 2 3 3 2 3" xfId="1665" xr:uid="{BBBBFBF0-66DF-4867-B34A-D643EF19D17E}"/>
    <cellStyle name="Normal 2 2 2 3 3 2 4" xfId="2083" xr:uid="{CF13A25E-F6A0-4A34-8B97-157CE3BA2A65}"/>
    <cellStyle name="Normal 2 2 2 3 3 2_HEU_act" xfId="1060" xr:uid="{59BB852D-A64C-4BC3-BE0F-FD88EC4679B4}"/>
    <cellStyle name="Normal 2 2 2 3 3 3" xfId="700" xr:uid="{7D1DDB77-881C-4443-86C0-4869CDFEB064}"/>
    <cellStyle name="Normal 2 2 2 3 3 4" xfId="1457" xr:uid="{08B5D00F-AFDB-4A2D-833B-4D4767989CFE}"/>
    <cellStyle name="Normal 2 2 2 3 3_HEU_act" xfId="1059" xr:uid="{C696068D-CDCF-41FD-B857-A2190FBA2282}"/>
    <cellStyle name="Normal 2 2 2 3 4" xfId="364" xr:uid="{D5D3F046-ACD7-49BD-B1BC-0FB9E7CDFD5C}"/>
    <cellStyle name="Normal 2 2 2 3 4 2" xfId="786" xr:uid="{3E2473B6-4C1A-4FD2-9547-C27E63644311}"/>
    <cellStyle name="Normal 2 2 2 3 4 3" xfId="1543" xr:uid="{E3E34AB7-0E7C-4BB4-BF49-35285F948497}"/>
    <cellStyle name="Normal 2 2 2 3 4 4" xfId="1961" xr:uid="{26DE6996-74CD-4907-9349-39E850935D1A}"/>
    <cellStyle name="Normal 2 2 2 3 4_HEU_act" xfId="1061" xr:uid="{1B7BB8D1-09D6-4ECC-858E-A3C3BEC3092B}"/>
    <cellStyle name="Normal 2 2 2 3 5" xfId="578" xr:uid="{E0CA6E5C-EAAC-4469-9793-C7EFD9C1E707}"/>
    <cellStyle name="Normal 2 2 2 3 6" xfId="1335" xr:uid="{26A79C29-3D10-4A52-9513-6941C6343C45}"/>
    <cellStyle name="Normal 2 2 2 3 7" xfId="1753" xr:uid="{5211B362-AD5D-4965-B6EB-33D27DC1ABB3}"/>
    <cellStyle name="Normal 2 2 2 3_HEU_act" xfId="1056" xr:uid="{BA75B76A-8B9D-4EA5-BCA4-CEAB463BC05D}"/>
    <cellStyle name="Normal 2 2 2 4" xfId="180" xr:uid="{5671502F-62C6-4E55-B8DE-9A5889F629DD}"/>
    <cellStyle name="Normal 2 2 2 4 2" xfId="290" xr:uid="{4E6B4CFF-7207-4A46-B22A-16EB9EC35433}"/>
    <cellStyle name="Normal 2 2 2 4 2 2" xfId="505" xr:uid="{26F57BD5-7B50-4A6E-B80D-6206AE863F71}"/>
    <cellStyle name="Normal 2 2 2 4 2 2 2" xfId="927" xr:uid="{61A6F6A8-36F8-4055-A213-54B399F2993E}"/>
    <cellStyle name="Normal 2 2 2 4 2 2 3" xfId="1684" xr:uid="{7746617C-8349-47C0-B30D-68E2588DB55E}"/>
    <cellStyle name="Normal 2 2 2 4 2 2 4" xfId="2102" xr:uid="{01B65077-2BC4-45D3-B86F-8A8C069B3DB5}"/>
    <cellStyle name="Normal 2 2 2 4 2 2_HEU_act" xfId="1064" xr:uid="{51A48B30-696D-4EBD-A1FD-ADC332D53303}"/>
    <cellStyle name="Normal 2 2 2 4 2 3" xfId="719" xr:uid="{88C47678-316D-4D37-9B10-6A3DF767CB2B}"/>
    <cellStyle name="Normal 2 2 2 4 2 4" xfId="1476" xr:uid="{B5868939-865C-4DEE-9F38-F0EADD3BEE31}"/>
    <cellStyle name="Normal 2 2 2 4 2 5" xfId="1894" xr:uid="{A5CDDB03-9294-419B-9017-1B364FA1C3DC}"/>
    <cellStyle name="Normal 2 2 2 4 2_HEU_act" xfId="1063" xr:uid="{E0F20DBC-7BE9-4EFE-A71C-26DBB8B558A3}"/>
    <cellStyle name="Normal 2 2 2 4 3" xfId="397" xr:uid="{319C8548-CCCD-4C3C-A0BF-4B251BF156ED}"/>
    <cellStyle name="Normal 2 2 2 4 3 2" xfId="819" xr:uid="{F749DDAA-3BF7-4DC8-949F-DEA570A57CCE}"/>
    <cellStyle name="Normal 2 2 2 4 3 3" xfId="1576" xr:uid="{26849BED-7E91-480A-A98E-D2FE7086EA9F}"/>
    <cellStyle name="Normal 2 2 2 4 3 4" xfId="1994" xr:uid="{AE9F0DC3-ED5C-4FF3-96F2-352BFFF3F77E}"/>
    <cellStyle name="Normal 2 2 2 4 3_HEU_act" xfId="1065" xr:uid="{9C073193-08B5-47AD-B9C3-2B355DA992F0}"/>
    <cellStyle name="Normal 2 2 2 4 4" xfId="611" xr:uid="{3CE74F15-74C1-4114-91C9-69437719B247}"/>
    <cellStyle name="Normal 2 2 2 4 5" xfId="1368" xr:uid="{CDA37D80-4398-4E95-88D0-621E2B5CE49A}"/>
    <cellStyle name="Normal 2 2 2 4 6" xfId="1786" xr:uid="{634651C5-6E19-420A-BCA9-02849FA0D3B3}"/>
    <cellStyle name="Normal 2 2 2 4_HEU_act" xfId="1062" xr:uid="{D983FCFD-6F8F-479E-9D48-F37F7A80631B}"/>
    <cellStyle name="Normal 2 2 2 5" xfId="241" xr:uid="{42C944DF-A526-4A50-8ABE-B4410E9DE7B5}"/>
    <cellStyle name="Normal 2 2 2 5 2" xfId="458" xr:uid="{88F03678-C0AB-4E30-8C22-A0E61227424D}"/>
    <cellStyle name="Normal 2 2 2 5 2 2" xfId="880" xr:uid="{9993775B-4AED-4882-AB1E-2B1239900184}"/>
    <cellStyle name="Normal 2 2 2 5 2 3" xfId="1637" xr:uid="{CE070E51-535E-4B8F-A24A-BEBF6A12EE74}"/>
    <cellStyle name="Normal 2 2 2 5 2 4" xfId="2055" xr:uid="{8B639648-CECD-4D8F-BE73-8E38553F6697}"/>
    <cellStyle name="Normal 2 2 2 5 2_HEU_act" xfId="1067" xr:uid="{2A7FB9EA-9E11-45FB-9E44-78E7C44F9AFD}"/>
    <cellStyle name="Normal 2 2 2 5 3" xfId="672" xr:uid="{715EB38C-C312-4BCE-8BBD-2811B0AC81D4}"/>
    <cellStyle name="Normal 2 2 2 5 4" xfId="1429" xr:uid="{4830421B-53B9-4F7C-85E0-80CB9078610B}"/>
    <cellStyle name="Normal 2 2 2 5 5" xfId="1847" xr:uid="{A62649F1-D603-4E05-B72E-88975F3A6F2A}"/>
    <cellStyle name="Normal 2 2 2 5_HEU_act" xfId="1066" xr:uid="{24CA2020-BFBA-4ABA-8019-3F79A91F41E8}"/>
    <cellStyle name="Normal 2 2 2 6" xfId="336" xr:uid="{6A8FD8A5-90D3-48A2-AD56-B1CBF1A4BAD6}"/>
    <cellStyle name="Normal 2 2 2 6 2" xfId="758" xr:uid="{2224459F-B503-42FD-9FE9-E57DD0E9C657}"/>
    <cellStyle name="Normal 2 2 2 6 3" xfId="1515" xr:uid="{ADDF3646-E8F3-45DC-8E34-ACD51CD22076}"/>
    <cellStyle name="Normal 2 2 2 6 4" xfId="1933" xr:uid="{D62C6400-8703-4A51-8055-BF6AA489EBD5}"/>
    <cellStyle name="Normal 2 2 2 6_HEU_act" xfId="1068" xr:uid="{01641FF5-E1A6-4DC4-B4CF-E82F543016AE}"/>
    <cellStyle name="Normal 2 2 2 7" xfId="550" xr:uid="{86C42E39-563B-4638-8E45-453B66FF56BA}"/>
    <cellStyle name="Normal 2 2 2 8" xfId="1307" xr:uid="{21B87338-3185-4BDD-AD84-90F9E063DCBA}"/>
    <cellStyle name="Normal 2 2 2 9" xfId="1725" xr:uid="{CD9174D7-1125-46B9-8FBB-5C6B608D1BB4}"/>
    <cellStyle name="Normal 2 2 2_HEU_act" xfId="1049" xr:uid="{6C1AD569-4F60-4E9B-806E-B89957C5F66E}"/>
    <cellStyle name="Normal 2 2 3" xfId="96" xr:uid="{B0CB5744-9849-417E-A91E-6AED342FAB71}"/>
    <cellStyle name="Normal 2 2 3 2" xfId="123" xr:uid="{B7D65CB6-8E2F-4655-9186-841E9EABEE32}"/>
    <cellStyle name="Normal 2 2 3 2 2" xfId="200" xr:uid="{6F1E0032-29FF-472C-91B0-170D9E45E4A4}"/>
    <cellStyle name="Normal 2 2 3 2 2 2" xfId="417" xr:uid="{F1338CCB-901F-41E2-8E0D-8C237D9F145F}"/>
    <cellStyle name="Normal 2 2 3 2 2 2 2" xfId="839" xr:uid="{3FC00569-51BB-497B-9F8A-F4388D1A5EC3}"/>
    <cellStyle name="Normal 2 2 3 2 2 2 3" xfId="1596" xr:uid="{64B93D4D-AD86-4188-8DE2-5CAD19C7B923}"/>
    <cellStyle name="Normal 2 2 3 2 2 2 4" xfId="2014" xr:uid="{53122022-3877-498E-83A1-EECBD1CBFFB7}"/>
    <cellStyle name="Normal 2 2 3 2 2 2_HEU_act" xfId="1072" xr:uid="{5BEC2B85-B696-4139-9681-8885198BEB62}"/>
    <cellStyle name="Normal 2 2 3 2 2 3" xfId="631" xr:uid="{A015654F-752F-44EB-BB48-6F738E201DF8}"/>
    <cellStyle name="Normal 2 2 3 2 2 4" xfId="1388" xr:uid="{D4EA2C40-49DD-4402-8C0A-B0CA4DCA65FF}"/>
    <cellStyle name="Normal 2 2 3 2 2 5" xfId="1806" xr:uid="{F0DAEA71-AF5E-4CDD-8114-D4A848EA61D9}"/>
    <cellStyle name="Normal 2 2 3 2 2_HEU_act" xfId="1071" xr:uid="{EC96CF70-DD48-4745-8532-A8F8918A3E00}"/>
    <cellStyle name="Normal 2 2 3 2 3" xfId="261" xr:uid="{E0ED1669-B165-40DE-A242-9ACF67CC3CB8}"/>
    <cellStyle name="Normal 2 2 3 2 3 2" xfId="478" xr:uid="{9F88E4C0-594A-4BAD-8B9A-B5B2E6FE9449}"/>
    <cellStyle name="Normal 2 2 3 2 3 2 2" xfId="900" xr:uid="{725AB4ED-A411-4297-8F92-B7D73801A815}"/>
    <cellStyle name="Normal 2 2 3 2 3 2 3" xfId="1657" xr:uid="{42ABD478-6D37-4CAB-AB24-E8D613313D5C}"/>
    <cellStyle name="Normal 2 2 3 2 3 2 4" xfId="2075" xr:uid="{106A9B30-2146-48A0-A9AB-D92BC82E2C32}"/>
    <cellStyle name="Normal 2 2 3 2 3 2_HEU_act" xfId="1074" xr:uid="{46BC3AB8-E309-457F-8A8B-C44D08F60DEF}"/>
    <cellStyle name="Normal 2 2 3 2 3 3" xfId="692" xr:uid="{E733FD71-0486-41A8-A34F-FB731994537B}"/>
    <cellStyle name="Normal 2 2 3 2 3 4" xfId="1449" xr:uid="{1217A291-0B85-4F7E-AF53-9107403A9327}"/>
    <cellStyle name="Normal 2 2 3 2 3 5" xfId="1867" xr:uid="{5B9154BE-2B04-41A7-8162-7B797EE34172}"/>
    <cellStyle name="Normal 2 2 3 2 3_HEU_act" xfId="1073" xr:uid="{FDD4F797-6DBA-45FF-82B6-2587A395E654}"/>
    <cellStyle name="Normal 2 2 3 2 4" xfId="356" xr:uid="{98F2AA05-B9A7-425E-A8AA-D7F101CB0E79}"/>
    <cellStyle name="Normal 2 2 3 2 4 2" xfId="778" xr:uid="{F5CA5F81-39BB-45BA-A076-5E3FEBD96D76}"/>
    <cellStyle name="Normal 2 2 3 2 4 3" xfId="1535" xr:uid="{F3B0229E-A6BA-4841-A810-7051D04854DB}"/>
    <cellStyle name="Normal 2 2 3 2 4 4" xfId="1953" xr:uid="{9D9910FB-D969-4414-B8F3-5A013211ABEF}"/>
    <cellStyle name="Normal 2 2 3 2 4_HEU_act" xfId="1075" xr:uid="{5A2EC66D-4858-4A3E-86FB-5CBFC2C2718A}"/>
    <cellStyle name="Normal 2 2 3 2 5" xfId="570" xr:uid="{DF24984A-E1D0-4C6A-9A90-D8879B3DBDE0}"/>
    <cellStyle name="Normal 2 2 3 2 6" xfId="1327" xr:uid="{3C8ADC96-BCCA-4953-8284-6ADF0CC280ED}"/>
    <cellStyle name="Normal 2 2 3 2 7" xfId="1745" xr:uid="{A14676B0-A63E-40F6-9EAD-4D11C1D50212}"/>
    <cellStyle name="Normal 2 2 3 2_HEU_act" xfId="1070" xr:uid="{93BF93C0-929C-4361-B8E4-0C49D1DE698E}"/>
    <cellStyle name="Normal 2 2 3 3" xfId="137" xr:uid="{56133AF8-0ADE-42B1-BAAD-967A0650BAE0}"/>
    <cellStyle name="Normal 2 2 3 3 2" xfId="214" xr:uid="{0D7B129B-0FFA-41D9-AED0-AEBFD4153BEF}"/>
    <cellStyle name="Normal 2 2 3 3 2 2" xfId="431" xr:uid="{5DC301A3-2478-4556-BD89-E9D01798F0E6}"/>
    <cellStyle name="Normal 2 2 3 3 2 2 2" xfId="853" xr:uid="{A1D27B1F-CB7A-4469-97F6-C3674FFE4716}"/>
    <cellStyle name="Normal 2 2 3 3 2 2 3" xfId="1610" xr:uid="{08C08CCC-234B-440D-B09C-0008DFD7D50B}"/>
    <cellStyle name="Normal 2 2 3 3 2 2 4" xfId="2028" xr:uid="{093A0B91-5C2E-417C-AFDA-62500AE5B909}"/>
    <cellStyle name="Normal 2 2 3 3 2 2_HEU_act" xfId="1078" xr:uid="{2CA4DBB0-07B0-408B-BAAE-EC5E7C716B5F}"/>
    <cellStyle name="Normal 2 2 3 3 2 3" xfId="645" xr:uid="{3BA57F88-71D0-4F48-8CBE-62CB23A1ED17}"/>
    <cellStyle name="Normal 2 2 3 3 2 4" xfId="1402" xr:uid="{9C749F93-BB37-4575-A1E3-9FCB39325A75}"/>
    <cellStyle name="Normal 2 2 3 3 2 5" xfId="1820" xr:uid="{2D7F0461-48FD-4AD7-9CB1-E2AEC0AE737E}"/>
    <cellStyle name="Normal 2 2 3 3 2_HEU_act" xfId="1077" xr:uid="{184BA92F-EA63-490F-8C57-A6F9951B2D4E}"/>
    <cellStyle name="Normal 2 2 3 3 3" xfId="275" xr:uid="{EE9BA58B-A8BC-4261-85BA-52E02A4A48EE}"/>
    <cellStyle name="Normal 2 2 3 3 3 2" xfId="492" xr:uid="{59FB292C-2F10-455F-84DF-D489CD83AEE1}"/>
    <cellStyle name="Normal 2 2 3 3 3 2 2" xfId="914" xr:uid="{954C182E-A052-43E3-A260-461FDBC01303}"/>
    <cellStyle name="Normal 2 2 3 3 3 2 3" xfId="1671" xr:uid="{CB2B94E1-82D9-49D0-B50B-072B9C385414}"/>
    <cellStyle name="Normal 2 2 3 3 3 2 4" xfId="2089" xr:uid="{B1808C85-61BD-4FE8-A81E-E47C84AC64B6}"/>
    <cellStyle name="Normal 2 2 3 3 3 2_HEU_act" xfId="1080" xr:uid="{74C71452-E3F9-4EC8-AD62-B90525C5AE09}"/>
    <cellStyle name="Normal 2 2 3 3 3 3" xfId="706" xr:uid="{4D1D6C72-2527-444F-B8B5-6C385F09D9C4}"/>
    <cellStyle name="Normal 2 2 3 3 3 4" xfId="1463" xr:uid="{0AF4A8D4-D5F5-4BF0-B805-40EAF0F7A33A}"/>
    <cellStyle name="Normal 2 2 3 3 3 5" xfId="1881" xr:uid="{03C9999A-43F0-4D3A-8F46-0EE73DCAEDF7}"/>
    <cellStyle name="Normal 2 2 3 3 3_HEU_act" xfId="1079" xr:uid="{50A46806-9FBD-4CAE-8A42-20134ADF2BAC}"/>
    <cellStyle name="Normal 2 2 3 3 4" xfId="370" xr:uid="{04C31BDA-E98F-4AF4-8228-22193B35C053}"/>
    <cellStyle name="Normal 2 2 3 3 4 2" xfId="792" xr:uid="{882BD3FA-AD54-4441-A79D-502A704BB415}"/>
    <cellStyle name="Normal 2 2 3 3 4 3" xfId="1549" xr:uid="{F5A8DCA0-6A2B-401F-858A-3E49740550D9}"/>
    <cellStyle name="Normal 2 2 3 3 4 4" xfId="1967" xr:uid="{79EC8A36-501B-4776-AFEB-C8A119BA673C}"/>
    <cellStyle name="Normal 2 2 3 3 4_HEU_act" xfId="1081" xr:uid="{19DC7E59-F5DE-4357-A692-071912AFCA83}"/>
    <cellStyle name="Normal 2 2 3 3 5" xfId="584" xr:uid="{0E299020-C47F-45AD-AE3D-CDAC537FE7A9}"/>
    <cellStyle name="Normal 2 2 3 3 6" xfId="1341" xr:uid="{EE9E7A75-2182-417C-BB60-5E3F5F77F751}"/>
    <cellStyle name="Normal 2 2 3 3 7" xfId="1759" xr:uid="{C60296F2-4368-418C-8973-1B5FB988E19F}"/>
    <cellStyle name="Normal 2 2 3 3_HEU_act" xfId="1076" xr:uid="{99183BC6-3DC2-4852-8585-5593BC1A5F3A}"/>
    <cellStyle name="Normal 2 2 3 4" xfId="186" xr:uid="{90D339ED-08B7-4F4C-B6AA-87562D54A5A7}"/>
    <cellStyle name="Normal 2 2 3 4 2" xfId="305" xr:uid="{A8469C2D-ADFC-4803-B872-BBBE40657513}"/>
    <cellStyle name="Normal 2 2 3 4 2 2" xfId="517" xr:uid="{E6E4A06A-BF40-42D4-BE4E-E649F08DE7A8}"/>
    <cellStyle name="Normal 2 2 3 4 2 2 2" xfId="939" xr:uid="{AB47D7AC-BD92-4FC8-9187-D7AC7CCC40A1}"/>
    <cellStyle name="Normal 2 2 3 4 2 2 3" xfId="1696" xr:uid="{93414519-493F-4520-8C5B-2E9BCED71C2B}"/>
    <cellStyle name="Normal 2 2 3 4 2 2 4" xfId="2114" xr:uid="{245BFE05-6A28-42F3-BC90-1A6811A799C0}"/>
    <cellStyle name="Normal 2 2 3 4 2 2_HEU_act" xfId="1084" xr:uid="{C9B77618-689B-4CB8-88B7-05BC3529A228}"/>
    <cellStyle name="Normal 2 2 3 4 2 3" xfId="731" xr:uid="{3B520485-6B09-44D3-8F42-90E1044DDD91}"/>
    <cellStyle name="Normal 2 2 3 4 2 4" xfId="1488" xr:uid="{0E28EC15-4D20-4F71-B2F1-CE77A2707D8D}"/>
    <cellStyle name="Normal 2 2 3 4 2 5" xfId="1906" xr:uid="{B81FA63D-A9C4-4B5D-9D5C-A7AC185490BC}"/>
    <cellStyle name="Normal 2 2 3 4 2_HEU_act" xfId="1083" xr:uid="{6186272E-94A3-4B2D-9A0F-F0C8F9BFAB2E}"/>
    <cellStyle name="Normal 2 2 3 4 3" xfId="403" xr:uid="{54D5B804-3124-47EE-B6BD-A43BA91258B9}"/>
    <cellStyle name="Normal 2 2 3 4 3 2" xfId="825" xr:uid="{40419E67-4A84-4FBF-9BA3-2CC79CAD1015}"/>
    <cellStyle name="Normal 2 2 3 4 3 3" xfId="1582" xr:uid="{BD0B80D2-E6AB-4BA2-B721-7097CC14929B}"/>
    <cellStyle name="Normal 2 2 3 4 3 4" xfId="2000" xr:uid="{952C585A-012F-4304-A6C7-49594E00B21F}"/>
    <cellStyle name="Normal 2 2 3 4 3_HEU_act" xfId="1085" xr:uid="{3FA79C41-1661-48CF-8A5C-77EE1EC5B100}"/>
    <cellStyle name="Normal 2 2 3 4 4" xfId="617" xr:uid="{2E73A2AB-2793-485A-8425-F0B2E26BBE1B}"/>
    <cellStyle name="Normal 2 2 3 4 5" xfId="1374" xr:uid="{19CD3954-3CC9-416E-A799-6E6C1C3F2C88}"/>
    <cellStyle name="Normal 2 2 3 4 6" xfId="1792" xr:uid="{102AA5D4-A62E-4ABA-BE2B-8ECEB02AAC1C}"/>
    <cellStyle name="Normal 2 2 3 4_HEU_act" xfId="1082" xr:uid="{6170D9DF-C758-430E-80C4-7F8CD77E8F60}"/>
    <cellStyle name="Normal 2 2 3 5" xfId="247" xr:uid="{A6FB8813-2830-4BAB-ABE7-FC9708B337AA}"/>
    <cellStyle name="Normal 2 2 3 5 2" xfId="464" xr:uid="{629352F8-7F15-43D9-9D02-77B08F0A0C76}"/>
    <cellStyle name="Normal 2 2 3 5 2 2" xfId="886" xr:uid="{31391496-0F5B-4763-88E6-B90167B5F702}"/>
    <cellStyle name="Normal 2 2 3 5 2 3" xfId="1643" xr:uid="{47234A8D-7AEB-426B-B417-8F15DA37AE13}"/>
    <cellStyle name="Normal 2 2 3 5 2 4" xfId="2061" xr:uid="{590F4C96-B6A7-41A6-BCA3-12C119F12ED7}"/>
    <cellStyle name="Normal 2 2 3 5 2_HEU_act" xfId="1087" xr:uid="{5E26850B-8022-4F71-B9D2-4B1A388EEBEE}"/>
    <cellStyle name="Normal 2 2 3 5 3" xfId="678" xr:uid="{1CC56E20-7BF8-4488-925F-227E5C3114A0}"/>
    <cellStyle name="Normal 2 2 3 5 4" xfId="1435" xr:uid="{E762FB3C-C488-4D7C-BB6F-C29DA23A4900}"/>
    <cellStyle name="Normal 2 2 3 5 5" xfId="1853" xr:uid="{26005512-D883-459A-A8C7-CD02EF252C7F}"/>
    <cellStyle name="Normal 2 2 3 5_HEU_act" xfId="1086" xr:uid="{332393CC-5C35-42AA-B69F-D89DC5E8EFA3}"/>
    <cellStyle name="Normal 2 2 3 6" xfId="342" xr:uid="{F4F3DFB4-6E2E-4E98-9B29-CF8FFB5F6A19}"/>
    <cellStyle name="Normal 2 2 3 6 2" xfId="764" xr:uid="{E0EAC659-123F-48AA-A4E8-24031747751F}"/>
    <cellStyle name="Normal 2 2 3 6 3" xfId="1521" xr:uid="{17CD4635-C842-4382-A992-476A0C583B3A}"/>
    <cellStyle name="Normal 2 2 3 6 4" xfId="1939" xr:uid="{45D2D619-F33D-4088-80B7-FDD29FCCAEB6}"/>
    <cellStyle name="Normal 2 2 3 6_HEU_act" xfId="1088" xr:uid="{763C1C03-B8A2-46D0-8970-4B26E58C91A8}"/>
    <cellStyle name="Normal 2 2 3 7" xfId="556" xr:uid="{8FB81ED1-8C79-4060-BF95-5A1E249F59F7}"/>
    <cellStyle name="Normal 2 2 3 8" xfId="1313" xr:uid="{5313831A-B4EF-4E17-8A75-51679A558879}"/>
    <cellStyle name="Normal 2 2 3 9" xfId="1731" xr:uid="{4F8B2C62-370F-4D0D-97D5-65F50C73B3E5}"/>
    <cellStyle name="Normal 2 2 3_HEU_act" xfId="1069" xr:uid="{06899931-F907-4B30-BA6F-128AFADFADD9}"/>
    <cellStyle name="Normal 2 2 4" xfId="84" xr:uid="{C76F4BCE-D698-4509-9623-3592CFFF519A}"/>
    <cellStyle name="Normal 2 2 4 2" xfId="175" xr:uid="{C37350F9-A988-4941-8970-084B711CF0A5}"/>
    <cellStyle name="Normal 2 2 4 2 2" xfId="392" xr:uid="{42019094-C2AD-4D93-8DA9-E91F301D528A}"/>
    <cellStyle name="Normal 2 2 4 2 2 2" xfId="814" xr:uid="{06363636-36D2-4AD0-899A-9451535657DD}"/>
    <cellStyle name="Normal 2 2 4 2 2 3" xfId="1571" xr:uid="{F766E72F-3F2E-42E6-8444-974AB6D93719}"/>
    <cellStyle name="Normal 2 2 4 2 2 4" xfId="1989" xr:uid="{CD2E402F-4B1E-49E2-A5FC-1E6DF87AC19E}"/>
    <cellStyle name="Normal 2 2 4 2 2_HEU_act" xfId="1091" xr:uid="{C7447C6A-D9AA-44C9-A2A7-550977D3AEE7}"/>
    <cellStyle name="Normal 2 2 4 2 3" xfId="606" xr:uid="{53E56ED3-FEFF-4D2E-957B-919720A0752A}"/>
    <cellStyle name="Normal 2 2 4 2 4" xfId="1363" xr:uid="{FA841D34-1EFB-409A-BC46-603316C201C8}"/>
    <cellStyle name="Normal 2 2 4 2 5" xfId="1781" xr:uid="{83C25E28-2B1C-4F6E-AA7A-9A84DDD41040}"/>
    <cellStyle name="Normal 2 2 4 2_HEU_act" xfId="1090" xr:uid="{8D8BF9AA-6E70-46E0-8B8E-81D3C86F74E8}"/>
    <cellStyle name="Normal 2 2 4 3" xfId="236" xr:uid="{3FFFFFD8-D832-4CC1-B36A-D6F396DFC0A7}"/>
    <cellStyle name="Normal 2 2 4 3 2" xfId="453" xr:uid="{6EF1CD4C-4B65-4A55-ADEE-22A9C145DE6D}"/>
    <cellStyle name="Normal 2 2 4 3 2 2" xfId="875" xr:uid="{6656BE87-F338-4E8D-BEB1-A9F4367E3563}"/>
    <cellStyle name="Normal 2 2 4 3 2 3" xfId="1632" xr:uid="{28EC1F04-C90D-4777-A8B0-38B0B7FE366E}"/>
    <cellStyle name="Normal 2 2 4 3 2 4" xfId="2050" xr:uid="{A1614000-0911-4849-BB24-D94E613FADEC}"/>
    <cellStyle name="Normal 2 2 4 3 2_HEU_act" xfId="1093" xr:uid="{526C31E5-A0FE-4FD8-B689-EC0AAB5EEC1B}"/>
    <cellStyle name="Normal 2 2 4 3 3" xfId="667" xr:uid="{BF16CFE9-09A8-4241-8A30-9275937863D2}"/>
    <cellStyle name="Normal 2 2 4 3 4" xfId="1424" xr:uid="{B0C96B43-1E6A-45E0-B9F0-B3426832F03C}"/>
    <cellStyle name="Normal 2 2 4 3 5" xfId="1842" xr:uid="{309A0B92-0227-43AC-B0AC-D54B29E978E7}"/>
    <cellStyle name="Normal 2 2 4 3_HEU_act" xfId="1092" xr:uid="{DD9E4635-1784-43E5-B5CB-17F134E9ECB3}"/>
    <cellStyle name="Normal 2 2 4 4" xfId="331" xr:uid="{B3015E95-839E-4315-BC3B-4909B4DC74B6}"/>
    <cellStyle name="Normal 2 2 4 4 2" xfId="753" xr:uid="{B0F36B56-6554-4ECF-AECC-49FAD26E0EBF}"/>
    <cellStyle name="Normal 2 2 4 4 3" xfId="1510" xr:uid="{DB59DD2E-6BA7-43B7-A374-CF2098996EFA}"/>
    <cellStyle name="Normal 2 2 4 4 4" xfId="1928" xr:uid="{9F596A5B-AECB-468B-ADDC-CE2217FC7FB3}"/>
    <cellStyle name="Normal 2 2 4 4_HEU_act" xfId="1094" xr:uid="{B431F9BD-09B5-403E-9E23-639905788AAC}"/>
    <cellStyle name="Normal 2 2 4 5" xfId="545" xr:uid="{1D671434-75F4-42CC-9D2D-F6901CBF84BA}"/>
    <cellStyle name="Normal 2 2 4 6" xfId="1302" xr:uid="{2C33718C-F050-4862-BFA6-CBAF8908D88C}"/>
    <cellStyle name="Normal 2 2 4 7" xfId="1720" xr:uid="{0D44B9E7-8B35-43AC-AA6B-9C955BB207D3}"/>
    <cellStyle name="Normal 2 2 4_HEU_act" xfId="1089" xr:uid="{633DAC7B-9DA3-4EE6-90F9-959373E0C4FA}"/>
    <cellStyle name="Normal 2 2 5" xfId="112" xr:uid="{2A50BCAC-F35B-4A0C-8DEB-13AC6B64D614}"/>
    <cellStyle name="Normal 2 2 5 2" xfId="189" xr:uid="{294CF3B7-E0B8-4783-9ADD-04DB779E0A44}"/>
    <cellStyle name="Normal 2 2 5 2 2" xfId="406" xr:uid="{F6CFE345-F63F-4787-B62F-E7163D883757}"/>
    <cellStyle name="Normal 2 2 5 2 2 2" xfId="828" xr:uid="{425D5717-7143-4F65-A336-38FB6C263506}"/>
    <cellStyle name="Normal 2 2 5 2 2 3" xfId="1585" xr:uid="{4F2A9C03-2414-46E4-AE16-91E5918BCD83}"/>
    <cellStyle name="Normal 2 2 5 2 2 4" xfId="2003" xr:uid="{4EB24A46-1A5F-4F8C-8139-3B0DB030907D}"/>
    <cellStyle name="Normal 2 2 5 2 2_HEU_act" xfId="1097" xr:uid="{37E19A0C-9BCD-4985-8108-184A453915AF}"/>
    <cellStyle name="Normal 2 2 5 2 3" xfId="620" xr:uid="{0CC71095-C6CF-49D7-BDFF-FC10FAA0E631}"/>
    <cellStyle name="Normal 2 2 5 2 4" xfId="1377" xr:uid="{9748862E-83FD-4964-B91F-E3DD6B76DA2B}"/>
    <cellStyle name="Normal 2 2 5 2 5" xfId="1795" xr:uid="{00462E06-AB37-45E0-BBE9-562F57FD941F}"/>
    <cellStyle name="Normal 2 2 5 2_HEU_act" xfId="1096" xr:uid="{552ECD97-CB72-491A-8C6B-E028A2A6D751}"/>
    <cellStyle name="Normal 2 2 5 3" xfId="250" xr:uid="{08FB28DD-5371-4E11-A1E4-4E1B2E3FDE47}"/>
    <cellStyle name="Normal 2 2 5 3 2" xfId="467" xr:uid="{5870160F-EA15-4393-B911-87A00A6D264F}"/>
    <cellStyle name="Normal 2 2 5 3 2 2" xfId="889" xr:uid="{ADE04496-1321-44C7-8C4B-2EAE44210750}"/>
    <cellStyle name="Normal 2 2 5 3 2 3" xfId="1646" xr:uid="{BDB1ED89-2DF2-4239-8467-1E49134553A0}"/>
    <cellStyle name="Normal 2 2 5 3 2 4" xfId="2064" xr:uid="{636DC71C-F963-43E0-ACB2-594C633BBEF8}"/>
    <cellStyle name="Normal 2 2 5 3 2_HEU_act" xfId="1099" xr:uid="{BCDE7F7E-E816-4402-B365-840E1732CCCD}"/>
    <cellStyle name="Normal 2 2 5 3 3" xfId="681" xr:uid="{09B3298A-9817-48BA-B7B3-53A921A0C4BB}"/>
    <cellStyle name="Normal 2 2 5 3 4" xfId="1438" xr:uid="{A7BC9B08-4894-4C87-8415-3D9939706FF2}"/>
    <cellStyle name="Normal 2 2 5 3 5" xfId="1856" xr:uid="{73FB91ED-A517-4EE5-B37F-12893603FEA4}"/>
    <cellStyle name="Normal 2 2 5 3_HEU_act" xfId="1098" xr:uid="{B838CD2B-A8D8-446D-999D-3A538AAADDFA}"/>
    <cellStyle name="Normal 2 2 5 4" xfId="345" xr:uid="{899D3873-7BB3-4802-ADE8-F1296C301167}"/>
    <cellStyle name="Normal 2 2 5 4 2" xfId="767" xr:uid="{2254F396-9409-46FF-8E6B-B4A48FBEEE78}"/>
    <cellStyle name="Normal 2 2 5 4 3" xfId="1524" xr:uid="{E5706C63-52F5-485A-B44F-C10E227C1F45}"/>
    <cellStyle name="Normal 2 2 5 4 4" xfId="1942" xr:uid="{33A4CE9A-60FE-4F19-B436-EBA19410EF90}"/>
    <cellStyle name="Normal 2 2 5 4_HEU_act" xfId="1100" xr:uid="{D3C7B9B0-E770-4E73-AD5C-19D169396C65}"/>
    <cellStyle name="Normal 2 2 5 5" xfId="559" xr:uid="{AF469F3D-BB81-4F83-A8CE-63A77EE6329B}"/>
    <cellStyle name="Normal 2 2 5 6" xfId="1316" xr:uid="{FDCF9B58-3E2A-4081-BD84-BFDF47BB9D54}"/>
    <cellStyle name="Normal 2 2 5 7" xfId="1734" xr:uid="{4B6AE3BB-648E-4ABC-BF2C-82F7A31F7FA8}"/>
    <cellStyle name="Normal 2 2 5_HEU_act" xfId="1095" xr:uid="{0EE89619-ED7E-47A4-8486-6747C540AB80}"/>
    <cellStyle name="Normal 2 2 6" xfId="126" xr:uid="{BB136E8A-4E74-4C15-94C9-F44B977A68A7}"/>
    <cellStyle name="Normal 2 2 6 2" xfId="203" xr:uid="{85ADAA3E-D926-40FB-8634-B3747E94A0FC}"/>
    <cellStyle name="Normal 2 2 6 2 2" xfId="420" xr:uid="{D0C38904-1C88-4F9C-ADC5-E06062DC321C}"/>
    <cellStyle name="Normal 2 2 6 2 2 2" xfId="842" xr:uid="{EC92E940-1B32-483A-A078-E860CFBAF890}"/>
    <cellStyle name="Normal 2 2 6 2 2 3" xfId="1599" xr:uid="{F25FA853-4D25-48BA-AC8F-C756631CF698}"/>
    <cellStyle name="Normal 2 2 6 2 2 4" xfId="2017" xr:uid="{6C553818-E4E6-4995-8579-3BCECCDF02E8}"/>
    <cellStyle name="Normal 2 2 6 2 2_HEU_act" xfId="1103" xr:uid="{68340797-26DE-4B57-A632-7844982A0B12}"/>
    <cellStyle name="Normal 2 2 6 2 3" xfId="634" xr:uid="{A10E09A9-8F52-45AD-B6B1-4714E3075BF5}"/>
    <cellStyle name="Normal 2 2 6 2 4" xfId="1391" xr:uid="{4342F86B-EDCE-4642-A76B-961099D62858}"/>
    <cellStyle name="Normal 2 2 6 2 5" xfId="1809" xr:uid="{8A397D88-65BA-41F3-B9E7-9F6604B6E4B6}"/>
    <cellStyle name="Normal 2 2 6 2_HEU_act" xfId="1102" xr:uid="{0F533B6A-3E6C-4AB7-B802-4C39F7DDCA1F}"/>
    <cellStyle name="Normal 2 2 6 3" xfId="264" xr:uid="{93ED4CC3-4CB0-451E-B010-02FF0CC62A9B}"/>
    <cellStyle name="Normal 2 2 6 3 2" xfId="481" xr:uid="{FFAC370A-D0A0-4B45-A27D-B39C268C3BAB}"/>
    <cellStyle name="Normal 2 2 6 3 2 2" xfId="903" xr:uid="{F2BD06F1-2CF9-46CB-A8A8-86CCA8D258ED}"/>
    <cellStyle name="Normal 2 2 6 3 2 3" xfId="1660" xr:uid="{F7667B7A-04C5-4CD4-832F-E56FDE5751D2}"/>
    <cellStyle name="Normal 2 2 6 3 2 4" xfId="2078" xr:uid="{6ACBF4CD-D40C-42E1-A870-0C319336D854}"/>
    <cellStyle name="Normal 2 2 6 3 2_HEU_act" xfId="1105" xr:uid="{D32280F5-D4E0-45EE-A83B-7833E60EFF7B}"/>
    <cellStyle name="Normal 2 2 6 3 3" xfId="695" xr:uid="{646D7879-2877-44D6-A508-FBD943E10D4E}"/>
    <cellStyle name="Normal 2 2 6 3 4" xfId="1452" xr:uid="{8E097B16-C799-43D1-A501-21211669F779}"/>
    <cellStyle name="Normal 2 2 6 3 5" xfId="1870" xr:uid="{77DCBAEB-EABF-474B-BE7E-7E5C76F78B9E}"/>
    <cellStyle name="Normal 2 2 6 3_HEU_act" xfId="1104" xr:uid="{DD9E359A-695E-4C09-8EB9-8BDF28F6EEB7}"/>
    <cellStyle name="Normal 2 2 6 4" xfId="359" xr:uid="{74F4C858-81FF-4A01-9C1A-946BE5AAE294}"/>
    <cellStyle name="Normal 2 2 6 4 2" xfId="781" xr:uid="{CC6B3599-E1A4-424D-A8DD-392A159FD6F9}"/>
    <cellStyle name="Normal 2 2 6 4 3" xfId="1538" xr:uid="{BB58A938-7FB4-4696-B3BB-B95E19C6EB39}"/>
    <cellStyle name="Normal 2 2 6 4 4" xfId="1956" xr:uid="{A901B42B-5B5F-40A5-92A9-6E1D5FF2D97E}"/>
    <cellStyle name="Normal 2 2 6 4_HEU_act" xfId="1106" xr:uid="{569AA738-60CC-49D5-AE8A-8B068CE8731F}"/>
    <cellStyle name="Normal 2 2 6 5" xfId="573" xr:uid="{F95FB3B0-B252-4F66-B58B-19C6A36D9D8F}"/>
    <cellStyle name="Normal 2 2 6 6" xfId="1330" xr:uid="{274885AD-2097-4830-99E1-70690625CA73}"/>
    <cellStyle name="Normal 2 2 6 7" xfId="1748" xr:uid="{3C2666D7-D521-4BE2-BEB6-EA0254566AEA}"/>
    <cellStyle name="Normal 2 2 6_HEU_act" xfId="1101" xr:uid="{9A28ABDD-D33A-4FDC-8E02-41806CAA2AB8}"/>
    <cellStyle name="Normal 2 2 7" xfId="173" xr:uid="{82A5566B-D688-4D77-B38F-5CE4CF48A961}"/>
    <cellStyle name="Normal 2 2 7 2" xfId="287" xr:uid="{8A3397A3-F4B1-4AE3-BE15-D39B93589189}"/>
    <cellStyle name="Normal 2 2 7 3" xfId="390" xr:uid="{3C8C186B-B61E-4713-B162-71504B011584}"/>
    <cellStyle name="Normal 2 2 7 3 2" xfId="812" xr:uid="{9AB25DD7-B7CE-46D7-A470-231D44E18D47}"/>
    <cellStyle name="Normal 2 2 7 3 3" xfId="1569" xr:uid="{153C6E09-7C0D-46FA-966F-13DD83059AB8}"/>
    <cellStyle name="Normal 2 2 7 3 4" xfId="1987" xr:uid="{8FD99C7B-4A77-4A10-B140-EA6D73C93E83}"/>
    <cellStyle name="Normal 2 2 7 3_HEU_act" xfId="1108" xr:uid="{76EB8795-F87B-429F-ADB6-DFE92950172C}"/>
    <cellStyle name="Normal 2 2 7 4" xfId="604" xr:uid="{A43B671C-212A-4379-AB80-97AF63D522BE}"/>
    <cellStyle name="Normal 2 2 7 5" xfId="1361" xr:uid="{2622BAE8-CB54-4068-87CC-0C53DC0393E3}"/>
    <cellStyle name="Normal 2 2 7 6" xfId="1779" xr:uid="{8D53EDB4-B324-4804-9C90-CDE71833B4AF}"/>
    <cellStyle name="Normal 2 2 7_HEU_act" xfId="1107" xr:uid="{CCFF8B8D-8CF4-43A6-A74C-38132004B733}"/>
    <cellStyle name="Normal 2 2 8" xfId="234" xr:uid="{2FF12A95-5683-4832-9C34-4BA8FCB4DD0E}"/>
    <cellStyle name="Normal 2 2 8 2" xfId="451" xr:uid="{2F04D119-E854-4F18-BB5A-C6D5A9D14656}"/>
    <cellStyle name="Normal 2 2 8 2 2" xfId="873" xr:uid="{48696D98-13C6-4A91-99D4-7438A0664886}"/>
    <cellStyle name="Normal 2 2 8 2 3" xfId="1630" xr:uid="{5E919465-2559-4BA6-86D5-DCDBC7FB2CA7}"/>
    <cellStyle name="Normal 2 2 8 2 4" xfId="2048" xr:uid="{5B139E16-00D2-4EF9-A288-E58224AEC49A}"/>
    <cellStyle name="Normal 2 2 8 2_HEU_act" xfId="1110" xr:uid="{213BF976-CEF2-46A1-AE7C-8F0F47314293}"/>
    <cellStyle name="Normal 2 2 8 3" xfId="665" xr:uid="{4A7B601A-E494-4F3D-8BAF-F63301BD5BB7}"/>
    <cellStyle name="Normal 2 2 8 4" xfId="1422" xr:uid="{59A18254-8C22-43A8-B0F9-95259DF58503}"/>
    <cellStyle name="Normal 2 2 8 5" xfId="1840" xr:uid="{9CC9AD28-12B5-41EF-9F60-34A90DD86569}"/>
    <cellStyle name="Normal 2 2 8_HEU_act" xfId="1109" xr:uid="{A78CF159-7C15-48D9-894B-33F0B4C83C0D}"/>
    <cellStyle name="Normal 2 2 9" xfId="329" xr:uid="{5D23FB93-DD1A-4EAA-BBFD-22A1322463C9}"/>
    <cellStyle name="Normal 2 2 9 2" xfId="751" xr:uid="{70FD9C5B-5262-4951-B9C0-E549B016C16E}"/>
    <cellStyle name="Normal 2 2 9 3" xfId="1508" xr:uid="{2291FB53-E69C-44B8-BC23-CA76330C66FA}"/>
    <cellStyle name="Normal 2 2 9 4" xfId="1926" xr:uid="{8F315578-52EC-4000-BD06-639A297D8316}"/>
    <cellStyle name="Normal 2 2 9_HEU_act" xfId="1111" xr:uid="{54D45775-7AF6-4F46-AC4D-123D7489E2C3}"/>
    <cellStyle name="Normal 2 2_HEU_act" xfId="1048" xr:uid="{0991F118-6CE3-477F-B14A-5893E12C18F8}"/>
    <cellStyle name="Normal 2 3" xfId="19" xr:uid="{AAC31755-55D1-4563-8273-AA7DCBECF8DA}"/>
    <cellStyle name="Normal 2 3 2" xfId="280" xr:uid="{E9B489A7-263B-4066-9F62-7A4D469054D7}"/>
    <cellStyle name="Normal 2 3_HEU_act" xfId="1112" xr:uid="{69A7982D-D6F4-4C0E-9F90-E6492FE24D5D}"/>
    <cellStyle name="Normal 2 4" xfId="289" xr:uid="{9D345303-D58E-4B0F-86B4-AFE8B3474408}"/>
    <cellStyle name="Normal 2 4 2" xfId="504" xr:uid="{598979CF-8499-41BB-802D-629EB3FA73DE}"/>
    <cellStyle name="Normal 2 4 2 2" xfId="926" xr:uid="{C893A4C9-6374-4599-A0EA-B77F93AFED1F}"/>
    <cellStyle name="Normal 2 4 2 3" xfId="1683" xr:uid="{875C1D27-C2EF-4290-917B-B8EFF6E4ECEE}"/>
    <cellStyle name="Normal 2 4 2 4" xfId="2101" xr:uid="{C80C9BAE-DC5B-4831-BC1A-733B5FFBEC80}"/>
    <cellStyle name="Normal 2 4 2_HEU_act" xfId="1114" xr:uid="{311E7776-E7A3-4300-837F-5A056AFF56C3}"/>
    <cellStyle name="Normal 2 4 3" xfId="718" xr:uid="{82EF9F9D-7689-4892-97FB-E415336595DF}"/>
    <cellStyle name="Normal 2 4 4" xfId="1475" xr:uid="{9E66B913-B7C3-498F-BAC3-B0225879E35B}"/>
    <cellStyle name="Normal 2 4 5" xfId="1893" xr:uid="{1FCBE6F3-C949-4A1D-AD7E-05981AA6C15B}"/>
    <cellStyle name="Normal 2 4_HEU_act" xfId="1113" xr:uid="{7BF65A8B-EA59-4479-A0DB-05FFC6AFB8EB}"/>
    <cellStyle name="Normal 2 5" xfId="525" xr:uid="{5799CF27-C723-4AC8-A93B-4C5C0FC81736}"/>
    <cellStyle name="Normal 2 6" xfId="1282" xr:uid="{8A4EC852-1B41-40DC-9B7F-0533E09A17B7}"/>
    <cellStyle name="Normal 2 7" xfId="1298" xr:uid="{6A539E58-26DD-4845-9F72-3B17C2A85ABE}"/>
    <cellStyle name="Normal 2 8" xfId="1281" xr:uid="{914AC8CF-8E1C-436F-AB6C-6E060E44C70C}"/>
    <cellStyle name="Normal 2 9" xfId="1700" xr:uid="{C639FB3D-190B-41E2-87F0-189E4969039B}"/>
    <cellStyle name="Normal 2_HEU_act" xfId="1047" xr:uid="{1A4A27F3-8AC8-4AE8-92B6-1CF708E941E9}"/>
    <cellStyle name="Normal 3" xfId="10" xr:uid="{6923BC3D-DFBF-42A6-8984-45D6F4D6A240}"/>
    <cellStyle name="Normal 3 10" xfId="35" xr:uid="{F3B062CD-0C8F-4949-9C67-DEF3638A1866}"/>
    <cellStyle name="Normal 3 11" xfId="527" xr:uid="{88A40426-34AC-4D21-B9A7-2408D4FD19DE}"/>
    <cellStyle name="Normal 3 12" xfId="1283" xr:uid="{9E821790-8B56-4C02-944A-36E2E708D65C}"/>
    <cellStyle name="Normal 3 13" xfId="1701" xr:uid="{09538AED-6F68-439A-B672-E5730EA581B5}"/>
    <cellStyle name="Normal 3 2" xfId="81" xr:uid="{B08AA8F4-22CC-4D94-A1E9-AC0AAD8A74D3}"/>
    <cellStyle name="Normal 3 2 10" xfId="1299" xr:uid="{ECC94D80-C733-4D57-8408-59830874CE50}"/>
    <cellStyle name="Normal 3 2 11" xfId="1717" xr:uid="{660471D1-0EAF-41C6-A8EB-489F20B7B214}"/>
    <cellStyle name="Normal 3 2 2" xfId="97" xr:uid="{7D982657-BD4B-4DB2-AC0F-2E9DC3007EEC}"/>
    <cellStyle name="Normal 3 2 2 2" xfId="124" xr:uid="{B6D2872F-9A4C-4EA3-9CED-820367CFD301}"/>
    <cellStyle name="Normal 3 2 2 2 2" xfId="201" xr:uid="{EB09F82D-0D59-471C-A835-A27898739146}"/>
    <cellStyle name="Normal 3 2 2 2 2 2" xfId="418" xr:uid="{BD7CE4C9-070C-4DB1-8F68-D3FC3EBDDF79}"/>
    <cellStyle name="Normal 3 2 2 2 2 2 2" xfId="840" xr:uid="{33C61EF7-40E9-4CE6-BA70-A73756A86628}"/>
    <cellStyle name="Normal 3 2 2 2 2 2 3" xfId="1597" xr:uid="{C16C6E28-BE4E-41AD-83B1-9383C7A463F3}"/>
    <cellStyle name="Normal 3 2 2 2 2 2 4" xfId="2015" xr:uid="{C7362F87-0AA2-4795-9B14-79F5A110A709}"/>
    <cellStyle name="Normal 3 2 2 2 2 2_HEU_act" xfId="1120" xr:uid="{B4100282-FE85-45E6-9A94-A3FD6E342850}"/>
    <cellStyle name="Normal 3 2 2 2 2 3" xfId="632" xr:uid="{04F309BB-A401-4A41-8B41-7F12E9D929A0}"/>
    <cellStyle name="Normal 3 2 2 2 2 4" xfId="1389" xr:uid="{0A1CFEC5-3D68-486D-828C-368B9F83F484}"/>
    <cellStyle name="Normal 3 2 2 2 2 5" xfId="1807" xr:uid="{E097EA7A-D3F8-4BC6-95D6-A1714F95295D}"/>
    <cellStyle name="Normal 3 2 2 2 2_HEU_act" xfId="1119" xr:uid="{6CBBA91E-EAEB-477A-ABEE-4F1A2BC88BA6}"/>
    <cellStyle name="Normal 3 2 2 2 3" xfId="262" xr:uid="{C07CC78A-A4F5-4296-9797-F33E99B91F7A}"/>
    <cellStyle name="Normal 3 2 2 2 3 2" xfId="479" xr:uid="{D5C705D5-9E15-4AA5-BEF8-4430B6675757}"/>
    <cellStyle name="Normal 3 2 2 2 3 2 2" xfId="901" xr:uid="{D2E60E70-1938-40BF-A574-71FC01CDBE9F}"/>
    <cellStyle name="Normal 3 2 2 2 3 2 3" xfId="1658" xr:uid="{15BC8D0C-A627-4F11-9E0F-BF9DB2CB2060}"/>
    <cellStyle name="Normal 3 2 2 2 3 2_HEU_act" xfId="1122" xr:uid="{7EF053C4-9557-45FE-869B-76E6A4A91728}"/>
    <cellStyle name="Normal 3 2 2 2 3 4" xfId="1450" xr:uid="{F1D1E12E-3B99-4065-8D8D-494036B701CE}"/>
    <cellStyle name="Normal 3 2 2 2 3 5" xfId="1868" xr:uid="{12BBDA4C-3BD1-4F2A-9779-E60836166993}"/>
    <cellStyle name="Normal 3 2 2 2 3_HEU_act" xfId="1121" xr:uid="{DE8C7FBC-1320-4FCD-9EB5-93A908C5D3D2}"/>
    <cellStyle name="Normal 3 2 2 2 4" xfId="357" xr:uid="{BB109E7B-918A-4109-9612-EF801EAB8002}"/>
    <cellStyle name="Normal 3 2 2 2 4 2" xfId="779" xr:uid="{59300425-825D-42B1-B907-9668527A4B76}"/>
    <cellStyle name="Normal 3 2 2 2 4 3" xfId="1536" xr:uid="{F86B4903-DC04-4C9D-AD58-D2A63E00DA32}"/>
    <cellStyle name="Normal 3 2 2 2 4 4" xfId="1954" xr:uid="{DAF22681-5979-4FFE-8A21-833CB1C26693}"/>
    <cellStyle name="Normal 3 2 2 2 4_HEU_act" xfId="1123" xr:uid="{A0EEDD7F-DA39-4C8E-8552-A56DC4D9915B}"/>
    <cellStyle name="Normal 3 2 2 2 5" xfId="571" xr:uid="{3291F34B-EA84-40B1-8FED-296A3A68D389}"/>
    <cellStyle name="Normal 3 2 2 2 6" xfId="1328" xr:uid="{57E08AFB-C6AA-4DC3-8FA3-AA2D8016F50B}"/>
    <cellStyle name="Normal 3 2 2 2 7" xfId="1746" xr:uid="{99B57747-C7F9-44E3-A266-CED4349DF3B7}"/>
    <cellStyle name="Normal 3 2 2 2_HEU_act" xfId="1118" xr:uid="{CD212ED7-5915-4286-8B08-7E1867B8F25D}"/>
    <cellStyle name="Normal 3 2 2 3" xfId="138" xr:uid="{FF5E7B77-9A82-48A5-A5DA-69A0981C2BCC}"/>
    <cellStyle name="Normal 3 2 2 3 2" xfId="215" xr:uid="{FEBCFE77-8E29-494E-92FC-8FF19B6C7AB0}"/>
    <cellStyle name="Normal 3 2 2 3 2 2" xfId="432" xr:uid="{6BF0E80A-796C-436D-8175-F491E5EBB010}"/>
    <cellStyle name="Normal 3 2 2 3 2 2 2" xfId="854" xr:uid="{A1C464B0-6698-4AB8-BBB8-1D22C5193052}"/>
    <cellStyle name="Normal 3 2 2 3 2 2 3" xfId="1611" xr:uid="{D9312BE2-D57A-4BAC-8054-DAD374E40EA5}"/>
    <cellStyle name="Normal 3 2 2 3 2 2 4" xfId="2029" xr:uid="{1D29E775-D77E-4BD1-9EA4-846A92512428}"/>
    <cellStyle name="Normal 3 2 2 3 2 2_HEU_act" xfId="1126" xr:uid="{AE14F15D-D16A-426D-9291-06E99D22FD15}"/>
    <cellStyle name="Normal 3 2 2 3 2 3" xfId="646" xr:uid="{17D91106-3719-454F-A6DC-09AC3F6CFC87}"/>
    <cellStyle name="Normal 3 2 2 3 2 4" xfId="1403" xr:uid="{536E848C-C5A3-4D0C-AFB3-8F01E4E81AD9}"/>
    <cellStyle name="Normal 3 2 2 3 2 5" xfId="1821" xr:uid="{57642960-73DC-48AA-9E62-BE0B132928A1}"/>
    <cellStyle name="Normal 3 2 2 3 2_HEU_act" xfId="1125" xr:uid="{0FE3A78C-7C00-4B13-9BE2-27F4696BF69B}"/>
    <cellStyle name="Normal 3 2 2 3 3" xfId="276" xr:uid="{1E1A6AAC-23DB-421E-9B5F-A4D97B0D980E}"/>
    <cellStyle name="Normal 3 2 2 3 3 2" xfId="493" xr:uid="{12472AEC-50D3-4DD1-8065-CD8B5167BF35}"/>
    <cellStyle name="Normal 3 2 2 3 3 2 2" xfId="915" xr:uid="{92D4CD74-4FBC-4F3D-A3A0-6659FF8B9BF3}"/>
    <cellStyle name="Normal 3 2 2 3 3 2 3" xfId="1672" xr:uid="{4C095B88-BDCB-4BC7-9E41-E0841ABA21DD}"/>
    <cellStyle name="Normal 3 2 2 3 3 2 4" xfId="2090" xr:uid="{32B25D9E-753A-4D91-A583-FD394B4AF9D7}"/>
    <cellStyle name="Normal 3 2 2 3 3 2_HEU_act" xfId="1128" xr:uid="{06BCF01E-C86D-4059-ADC1-7C874FE58540}"/>
    <cellStyle name="Normal 3 2 2 3 3 3" xfId="707" xr:uid="{03EC4FD1-43A7-495B-81FF-0CE1E9BF873A}"/>
    <cellStyle name="Normal 3 2 2 3 3 4" xfId="1464" xr:uid="{2A0CC6AB-7482-44DF-9D6D-D30C4E4539D8}"/>
    <cellStyle name="Normal 3 2 2 3 3 5" xfId="1882" xr:uid="{AEF78C86-010B-4079-9B4A-1D606FABA6C5}"/>
    <cellStyle name="Normal 3 2 2 3 3_HEU_act" xfId="1127" xr:uid="{F258A3A0-AA84-4798-BD75-B9E705D27973}"/>
    <cellStyle name="Normal 3 2 2 3 4" xfId="371" xr:uid="{AF055E34-6AE3-4B16-BEB1-56DC931DC949}"/>
    <cellStyle name="Normal 3 2 2 3 4 2" xfId="793" xr:uid="{993074E0-766E-4418-A363-57890EAFEBC2}"/>
    <cellStyle name="Normal 3 2 2 3 4 3" xfId="1550" xr:uid="{3540F064-55F7-4658-B5FD-05DCCD5535A1}"/>
    <cellStyle name="Normal 3 2 2 3 4 4" xfId="1968" xr:uid="{DB78EC62-6FD0-4AFB-8850-574E27661ECF}"/>
    <cellStyle name="Normal 3 2 2 3 4_HEU_act" xfId="1129" xr:uid="{8F42AFF0-8DDE-444E-A460-30B3CE98518B}"/>
    <cellStyle name="Normal 3 2 2 3 5" xfId="585" xr:uid="{9C0BA9B4-1F99-4E8E-A06C-2A4669126D5B}"/>
    <cellStyle name="Normal 3 2 2 3 6" xfId="1342" xr:uid="{18C7C93F-7F5A-44E3-9AA4-6EA710D64FD6}"/>
    <cellStyle name="Normal 3 2 2 3 7" xfId="1760" xr:uid="{1EA0EF51-5B40-4885-949C-61BF8A23852C}"/>
    <cellStyle name="Normal 3 2 2 3_HEU_act" xfId="1124" xr:uid="{995AF603-4C95-41F1-9A15-2A782256D766}"/>
    <cellStyle name="Normal 3 2 2 4" xfId="187" xr:uid="{E5BC61DA-4D44-4C81-82BB-62C3C3F13DAB}"/>
    <cellStyle name="Normal 3 2 2 4 2" xfId="306" xr:uid="{A8E60207-3242-4C72-ABF9-FBABAED73FC1}"/>
    <cellStyle name="Normal 3 2 2 4 2 2" xfId="518" xr:uid="{61377169-98AB-4FC8-B241-7ACF24B733A4}"/>
    <cellStyle name="Normal 3 2 2 4 2 2 2" xfId="940" xr:uid="{729FE4A4-DE43-464A-AFBA-C7EEB7A23F5E}"/>
    <cellStyle name="Normal 3 2 2 4 2 2 3" xfId="1697" xr:uid="{B5CA7E16-8446-41B8-AD19-2C5507EBFF0B}"/>
    <cellStyle name="Normal 3 2 2 4 2 2 4" xfId="2115" xr:uid="{7CFAA26B-2601-4BA8-AEEA-01144BB82AA7}"/>
    <cellStyle name="Normal 3 2 2 4 2 2_HEU_act" xfId="1132" xr:uid="{F22F6001-F851-40A2-A48F-42287F405F70}"/>
    <cellStyle name="Normal 3 2 2 4 2 3" xfId="732" xr:uid="{AD45C3A2-7D8A-40DB-9739-317DCACA2A31}"/>
    <cellStyle name="Normal 3 2 2 4 2 4" xfId="1489" xr:uid="{2FED4230-C9D9-4A66-874A-90FBCBC887A9}"/>
    <cellStyle name="Normal 3 2 2 4 2 5" xfId="1907" xr:uid="{0338FDBA-F9AB-4622-8781-ECF373A04158}"/>
    <cellStyle name="Normal 3 2 2 4 2_HEU_act" xfId="1131" xr:uid="{EB932B5F-3289-4F25-831F-950F04DE2FE8}"/>
    <cellStyle name="Normal 3 2 2 4 3" xfId="404" xr:uid="{127100AE-1F52-4226-904C-F1B401A41A57}"/>
    <cellStyle name="Normal 3 2 2 4 3 2" xfId="826" xr:uid="{1BDF99EC-27E1-4E3B-BC0B-AA9879906D3C}"/>
    <cellStyle name="Normal 3 2 2 4 3 3" xfId="1583" xr:uid="{2A73EBD7-8A40-4296-AF6A-2AC2356A6054}"/>
    <cellStyle name="Normal 3 2 2 4 3 4" xfId="2001" xr:uid="{81356D9C-0346-4938-93A9-D3CAFA214126}"/>
    <cellStyle name="Normal 3 2 2 4 3_HEU_act" xfId="1133" xr:uid="{33572DE4-68BD-4DE1-A488-54B0E23B0818}"/>
    <cellStyle name="Normal 3 2 2 4 4" xfId="618" xr:uid="{22624CF9-B54F-4CDB-981D-86D2752D177A}"/>
    <cellStyle name="Normal 3 2 2 4 5" xfId="1375" xr:uid="{A758DB8B-7B36-47F9-A477-CD58FE4B5112}"/>
    <cellStyle name="Normal 3 2 2 4 6" xfId="1793" xr:uid="{A5527268-2ACE-4415-962C-6A20F304E526}"/>
    <cellStyle name="Normal 3 2 2 4_HEU_act" xfId="1130" xr:uid="{28C2B9FE-8D06-46ED-B920-BD163D5F50EC}"/>
    <cellStyle name="Normal 3 2 2 5" xfId="248" xr:uid="{369E4980-71BB-45CC-B8F6-6BD6EB87A579}"/>
    <cellStyle name="Normal 3 2 2 5 2" xfId="465" xr:uid="{BB82ED35-BD61-413A-AFC5-A03D141FC112}"/>
    <cellStyle name="Normal 3 2 2 5 2 2" xfId="887" xr:uid="{0162C51D-0ED3-4F62-A2D1-1CDFA36D0B6A}"/>
    <cellStyle name="Normal 3 2 2 5 2 3" xfId="1644" xr:uid="{2D15DBFA-E3A5-447C-A9E6-A966C8659179}"/>
    <cellStyle name="Normal 3 2 2 5 2 4" xfId="2062" xr:uid="{FEA6769F-4AF0-4075-9642-98B6D8A3D2FB}"/>
    <cellStyle name="Normal 3 2 2 5 2_HEU_act" xfId="1135" xr:uid="{61CB80DE-C1F7-4113-B09C-D9C557B8EF3D}"/>
    <cellStyle name="Normal 3 2 2 5 3" xfId="679" xr:uid="{EBCAEACB-9895-478A-AA1B-B166626D41FB}"/>
    <cellStyle name="Normal 3 2 2 5 4" xfId="1436" xr:uid="{85CBF006-AC8D-413F-940D-F89E3575737C}"/>
    <cellStyle name="Normal 3 2 2 5 5" xfId="1854" xr:uid="{5C471BD5-B4FC-4BD6-B8AC-7298621759D0}"/>
    <cellStyle name="Normal 3 2 2 5_HEU_act" xfId="1134" xr:uid="{CF32C02A-E421-455D-B12F-3DAB786ACCFC}"/>
    <cellStyle name="Normal 3 2 2 6" xfId="343" xr:uid="{F7BA9A6F-435C-4774-B080-540FED58A11E}"/>
    <cellStyle name="Normal 3 2 2 6 2" xfId="765" xr:uid="{5FB3E8A3-6F5A-43CF-B97B-3430E327E231}"/>
    <cellStyle name="Normal 3 2 2 6 3" xfId="1522" xr:uid="{6863AA3D-2183-4808-8FE0-26423AC56D2E}"/>
    <cellStyle name="Normal 3 2 2 6 4" xfId="1940" xr:uid="{EB494117-A9BE-4299-A2BB-1B1BE491A3AF}"/>
    <cellStyle name="Normal 3 2 2 6_HEU_act" xfId="1136" xr:uid="{8CE6F812-F9DC-4ADF-A13A-E5345C27274F}"/>
    <cellStyle name="Normal 3 2 2 7" xfId="557" xr:uid="{BD5A118E-E2F4-48BB-AD49-85EDBD7E67F1}"/>
    <cellStyle name="Normal 3 2 2 8" xfId="1314" xr:uid="{F5644C9A-BD0A-45E9-85C8-188CFC6D8FE2}"/>
    <cellStyle name="Normal 3 2 2 9" xfId="1732" xr:uid="{22D97DB5-FF5E-4BC0-99CF-71C7D1FC6FED}"/>
    <cellStyle name="Normal 3 2 2_HEU_act" xfId="1117" xr:uid="{65FD755D-E7D2-4171-B086-16545A89CB31}"/>
    <cellStyle name="Normal 3 2 3" xfId="90" xr:uid="{BE1037EA-D2F0-4774-8390-E86FA6390C53}"/>
    <cellStyle name="Normal 3 2 3 2" xfId="181" xr:uid="{22262431-EF2F-46DF-A537-AABBBCF75285}"/>
    <cellStyle name="Normal 3 2 3 2 2" xfId="398" xr:uid="{30CE9706-3DCD-4FA7-A149-76F39D04E904}"/>
    <cellStyle name="Normal 3 2 3 2 2 2" xfId="820" xr:uid="{7F41EEB9-66C7-48B3-B7A3-F28A2D7E5C8E}"/>
    <cellStyle name="Normal 3 2 3 2 2 3" xfId="1577" xr:uid="{E6BF0F25-8AFC-4F26-8596-30E61AC5CF13}"/>
    <cellStyle name="Normal 3 2 3 2 2 4" xfId="1995" xr:uid="{3FC77093-27A1-474C-978D-32AF24001102}"/>
    <cellStyle name="Normal 3 2 3 2 2_HEU_act" xfId="1139" xr:uid="{07781059-6928-4933-B149-69D30CCD385C}"/>
    <cellStyle name="Normal 3 2 3 2 3" xfId="612" xr:uid="{003F440A-6590-44EA-8430-C6DC7D0247C1}"/>
    <cellStyle name="Normal 3 2 3 2 4" xfId="1369" xr:uid="{6A781BCE-AAC9-4206-BD65-623B61B81B41}"/>
    <cellStyle name="Normal 3 2 3 2 5" xfId="1787" xr:uid="{CD168C8E-5089-46F1-AB1B-8988A32E6293}"/>
    <cellStyle name="Normal 3 2 3 2_HEU_act" xfId="1138" xr:uid="{08B224FE-54F0-456B-A7C2-10A90BDE0AB4}"/>
    <cellStyle name="Normal 3 2 3 3" xfId="242" xr:uid="{14A7535A-F5FD-49BA-BECE-30D5E5DFAC69}"/>
    <cellStyle name="Normal 3 2 3 3 2" xfId="459" xr:uid="{4A309A07-55B7-478A-9A83-508CC8361C64}"/>
    <cellStyle name="Normal 3 2 3 3 2 2" xfId="881" xr:uid="{7B435C19-DE36-4C48-BFBA-D6F1A83236ED}"/>
    <cellStyle name="Normal 3 2 3 3 2 3" xfId="1638" xr:uid="{31E45EC3-90FA-47CE-92D5-40E7B09B1031}"/>
    <cellStyle name="Normal 3 2 3 3 2 4" xfId="2056" xr:uid="{E5332E05-1BEF-42B4-9A03-DF1BC501C2AE}"/>
    <cellStyle name="Normal 3 2 3 3 2_HEU_act" xfId="1141" xr:uid="{BB665C87-08C0-482F-899F-85BA5F1D6BE0}"/>
    <cellStyle name="Normal 3 2 3 3 3" xfId="673" xr:uid="{A0A15EE6-9035-4BFF-8463-885C5B8BF427}"/>
    <cellStyle name="Normal 3 2 3 3 4" xfId="1430" xr:uid="{6EB2EE1D-6D07-4FDA-8073-2F7651FD06C0}"/>
    <cellStyle name="Normal 3 2 3 3 5" xfId="1848" xr:uid="{8259B857-09FA-4659-A9B3-C89F03E9C370}"/>
    <cellStyle name="Normal 3 2 3 3_HEU_act" xfId="1140" xr:uid="{1965151D-04B5-4534-92C0-DD2CB7BF4F28}"/>
    <cellStyle name="Normal 3 2 3 4" xfId="337" xr:uid="{8F2221E7-786C-4AA8-8D14-73D31F603939}"/>
    <cellStyle name="Normal 3 2 3 4 2" xfId="759" xr:uid="{7D9BA312-A8B9-490A-803C-092A2A7F2B23}"/>
    <cellStyle name="Normal 3 2 3 4 3" xfId="1516" xr:uid="{B1CCDC62-AA67-4457-86A1-43A636CB398B}"/>
    <cellStyle name="Normal 3 2 3 4 4" xfId="1934" xr:uid="{E7A1A200-FD28-4A01-BE45-41193C6A3400}"/>
    <cellStyle name="Normal 3 2 3 4_HEU_act" xfId="1142" xr:uid="{1ACE90DE-86B1-4ED8-8C9F-809C427AE6AD}"/>
    <cellStyle name="Normal 3 2 3 5" xfId="551" xr:uid="{F392F273-2D06-4965-88F2-23853E918653}"/>
    <cellStyle name="Normal 3 2 3 6" xfId="1308" xr:uid="{144BD099-6D39-49F4-9496-14ED12D743CD}"/>
    <cellStyle name="Normal 3 2 3 7" xfId="1726" xr:uid="{C3EDDD23-D56E-45A3-A917-80C957DD4439}"/>
    <cellStyle name="Normal 3 2 3_HEU_act" xfId="1137" xr:uid="{729DBC53-60F3-4BD5-85F2-EC56EFAD9718}"/>
    <cellStyle name="Normal 3 2 4" xfId="118" xr:uid="{2B4154D9-9810-4118-8A11-7D550C72EDBB}"/>
    <cellStyle name="Normal 3 2 4 2" xfId="195" xr:uid="{EA93F6BC-885E-49D2-BFB9-16F0FC3DCB8C}"/>
    <cellStyle name="Normal 3 2 4 2 2" xfId="412" xr:uid="{169DC429-F5E2-412C-AA2B-29D33532BF05}"/>
    <cellStyle name="Normal 3 2 4 2 2 2" xfId="834" xr:uid="{A1611CDC-DEBC-47CA-958C-B787BBBE4A48}"/>
    <cellStyle name="Normal 3 2 4 2 2 3" xfId="1591" xr:uid="{5AD5BD5C-240D-4933-BCF3-AF0C8A0F8853}"/>
    <cellStyle name="Normal 3 2 4 2 2 4" xfId="2009" xr:uid="{108A3E9B-D2A1-4D2F-B225-4A0B588E9399}"/>
    <cellStyle name="Normal 3 2 4 2 2_HEU_act" xfId="1145" xr:uid="{AAA98197-BAEE-4739-B880-C3541278A167}"/>
    <cellStyle name="Normal 3 2 4 2 3" xfId="626" xr:uid="{0FFDEF56-E3D6-46CD-9F73-7B066AB830F1}"/>
    <cellStyle name="Normal 3 2 4 2 4" xfId="1383" xr:uid="{C2B34E67-3A8C-40E4-8A1B-70B456C94700}"/>
    <cellStyle name="Normal 3 2 4 2 5" xfId="1801" xr:uid="{58A2636A-7CA7-4E66-80B9-B79B11D0A3FE}"/>
    <cellStyle name="Normal 3 2 4 2_HEU_act" xfId="1144" xr:uid="{B69E8897-C0BB-4C58-A588-6E27B3F82EF0}"/>
    <cellStyle name="Normal 3 2 4 3" xfId="256" xr:uid="{3E2FE334-E238-48A9-ACD0-3C206F121FC4}"/>
    <cellStyle name="Normal 3 2 4 3 2" xfId="473" xr:uid="{BFFFEE9B-43FD-4892-A190-9E37D5DC33DE}"/>
    <cellStyle name="Normal 3 2 4 3 2 2" xfId="895" xr:uid="{DB183FDE-BB75-4F0F-9313-C8F093EA61F5}"/>
    <cellStyle name="Normal 3 2 4 3 2 3" xfId="1652" xr:uid="{57604AD1-D2BE-4103-9697-0BEE8140B62C}"/>
    <cellStyle name="Normal 3 2 4 3 2 4" xfId="2070" xr:uid="{7E18E334-CCD6-4A5D-BA77-26BA98B592DA}"/>
    <cellStyle name="Normal 3 2 4 3 2_HEU_act" xfId="1147" xr:uid="{7ABE559D-FC47-492E-813E-558EA5CD992B}"/>
    <cellStyle name="Normal 3 2 4 3 3" xfId="687" xr:uid="{52FB3FC9-74F8-46C5-A4BB-782A5ACD3903}"/>
    <cellStyle name="Normal 3 2 4 3 4" xfId="1444" xr:uid="{C91D2FAD-A975-4691-8438-7EB667FF8A47}"/>
    <cellStyle name="Normal 3 2 4 3 5" xfId="1862" xr:uid="{B6BEB935-784D-4800-A17F-FBD67EC6B20C}"/>
    <cellStyle name="Normal 3 2 4 3_HEU_act" xfId="1146" xr:uid="{EA5C586F-5A59-48A8-B0E5-84EDFFA0951B}"/>
    <cellStyle name="Normal 3 2 4 4" xfId="351" xr:uid="{336D3590-552D-4D6B-8733-DBEA062605A3}"/>
    <cellStyle name="Normal 3 2 4 4 2" xfId="773" xr:uid="{073D091D-2323-4DF7-A310-42C3AFD9DD81}"/>
    <cellStyle name="Normal 3 2 4 4 3" xfId="1530" xr:uid="{1CEFC309-F141-43E4-86A6-D09A39E82D3A}"/>
    <cellStyle name="Normal 3 2 4 4 4" xfId="1948" xr:uid="{085B280B-2984-4EBF-88A4-F74A0C73CCC3}"/>
    <cellStyle name="Normal 3 2 4 4_HEU_act" xfId="1148" xr:uid="{849D2820-FBFD-48A8-A217-42EB13B58565}"/>
    <cellStyle name="Normal 3 2 4 5" xfId="565" xr:uid="{71265848-3959-4121-96E9-B42E39C388C0}"/>
    <cellStyle name="Normal 3 2 4 6" xfId="1322" xr:uid="{D1DF5695-4958-42E0-BD3F-3143F38EA754}"/>
    <cellStyle name="Normal 3 2 4 7" xfId="1740" xr:uid="{53E1D90E-7A52-4440-A90F-A33088127F54}"/>
    <cellStyle name="Normal 3 2 4_HEU_act" xfId="1143" xr:uid="{04C74D4A-0531-4921-9843-082237DAA7A1}"/>
    <cellStyle name="Normal 3 2 5" xfId="132" xr:uid="{52B03B0B-2988-4821-B94C-B2BB610FD6F7}"/>
    <cellStyle name="Normal 3 2 5 2" xfId="209" xr:uid="{53F6F958-0228-4FDD-8863-32A4B18E7A43}"/>
    <cellStyle name="Normal 3 2 5 2 2" xfId="426" xr:uid="{42E331F2-BDA9-4580-9B91-86E89095B859}"/>
    <cellStyle name="Normal 3 2 5 2 2 2" xfId="848" xr:uid="{99122363-0FC8-4364-82FB-AA98776BA408}"/>
    <cellStyle name="Normal 3 2 5 2 2 3" xfId="1605" xr:uid="{A65D1DA5-AA65-4DD5-A425-51A875174AEE}"/>
    <cellStyle name="Normal 3 2 5 2 2 4" xfId="2023" xr:uid="{620C0E47-63E2-4739-AA46-AC59DF62534B}"/>
    <cellStyle name="Normal 3 2 5 2 2_HEU_act" xfId="1151" xr:uid="{5076B0CF-5F10-4C06-848A-F98F1E8F171A}"/>
    <cellStyle name="Normal 3 2 5 2 3" xfId="640" xr:uid="{630710DE-0F00-4ABA-BB9D-AB9C8B115CF8}"/>
    <cellStyle name="Normal 3 2 5 2 4" xfId="1397" xr:uid="{9ADF7618-3AAD-43B9-869F-D17C4AED2408}"/>
    <cellStyle name="Normal 3 2 5 2 5" xfId="1815" xr:uid="{E0D32474-6FC9-4FBE-985D-BA430700BCF7}"/>
    <cellStyle name="Normal 3 2 5 2_HEU_act" xfId="1150" xr:uid="{6FF94BD1-C2DF-458B-8B47-0D8AFE93E3E1}"/>
    <cellStyle name="Normal 3 2 5 3" xfId="270" xr:uid="{70722E38-D507-43F4-8CF2-CF8EFFEEA1AA}"/>
    <cellStyle name="Normal 3 2 5 3 2" xfId="487" xr:uid="{629DAD44-DAC4-4BD0-9718-B0CE66D65392}"/>
    <cellStyle name="Normal 3 2 5 3 2 2" xfId="909" xr:uid="{60D170CC-BCC0-44F2-B806-874D49AD2EA4}"/>
    <cellStyle name="Normal 3 2 5 3 2 3" xfId="1666" xr:uid="{DE4A2C79-B01C-4CDF-94BF-1E70E6E210DA}"/>
    <cellStyle name="Normal 3 2 5 3 2 4" xfId="2084" xr:uid="{37AB0902-6D2E-4E60-AB26-C537F670F342}"/>
    <cellStyle name="Normal 3 2 5 3 2_HEU_act" xfId="1153" xr:uid="{3E33321C-C3C3-4F6D-9123-9046AECCB7EC}"/>
    <cellStyle name="Normal 3 2 5 3 3" xfId="701" xr:uid="{02BAA3BA-B39F-4384-B87E-93C6FD0FEBA4}"/>
    <cellStyle name="Normal 3 2 5 3 4" xfId="1458" xr:uid="{A9AAEDF2-B745-4093-BF7A-8E75D86DF2AE}"/>
    <cellStyle name="Normal 3 2 5 3 5" xfId="1876" xr:uid="{89E3B527-CDEF-4139-9ACD-72A3582E8FF2}"/>
    <cellStyle name="Normal 3 2 5 3_HEU_act" xfId="1152" xr:uid="{3920C8C3-5CF9-40F6-8AD2-975B4E2E28FC}"/>
    <cellStyle name="Normal 3 2 5 4" xfId="365" xr:uid="{8BA3B759-962B-42EF-A331-5444CF26E7EA}"/>
    <cellStyle name="Normal 3 2 5 4 2" xfId="787" xr:uid="{26FDFD61-9C52-44FD-A874-30002A7C07B5}"/>
    <cellStyle name="Normal 3 2 5 4 3" xfId="1544" xr:uid="{9177416E-F205-4A10-91D3-CE809DECC73A}"/>
    <cellStyle name="Normal 3 2 5 4 4" xfId="1962" xr:uid="{879C09B3-F6C6-4CD0-95B8-C8703DA42BB4}"/>
    <cellStyle name="Normal 3 2 5 4_HEU_act" xfId="1154" xr:uid="{B75D83B5-DE17-4425-B2F4-BDD9F0EA80BD}"/>
    <cellStyle name="Normal 3 2 5 5" xfId="579" xr:uid="{B027637E-EC9C-408F-9681-2A5F5EB60DFB}"/>
    <cellStyle name="Normal 3 2 5 6" xfId="1336" xr:uid="{602BCF44-F86F-4C26-96BB-565C937D8A6F}"/>
    <cellStyle name="Normal 3 2 5 7" xfId="1754" xr:uid="{2D9AD3E7-2C1F-4F87-A965-BE9C5ED25BE9}"/>
    <cellStyle name="Normal 3 2 5_HEU_act" xfId="1149" xr:uid="{8FE22344-67D7-4543-965A-172ED7C723C3}"/>
    <cellStyle name="Normal 3 2 6" xfId="172" xr:uid="{B4EE8B1A-8E19-494B-ADA8-8C443D04E2B1}"/>
    <cellStyle name="Normal 3 2 6 2" xfId="300" xr:uid="{A8280D98-8937-412F-A623-B6C4C911F6D3}"/>
    <cellStyle name="Normal 3 2 6 2 2" xfId="512" xr:uid="{F5B9166D-82D3-4D7C-BF35-65B693F0BBA7}"/>
    <cellStyle name="Normal 3 2 6 2 2 2" xfId="934" xr:uid="{4C5BF49C-2B34-4C81-93D9-54C2B05C8AEB}"/>
    <cellStyle name="Normal 3 2 6 2 2 3" xfId="1691" xr:uid="{9B48B26F-0E8B-4245-B57D-69F56FBB8C32}"/>
    <cellStyle name="Normal 3 2 6 2 2 4" xfId="2109" xr:uid="{06880A5D-B02C-4DBF-B28C-9F391A27C1DA}"/>
    <cellStyle name="Normal 3 2 6 2 2_HEU_act" xfId="1157" xr:uid="{07D0A6B3-01AC-4355-B7BD-EE54B9E4D75D}"/>
    <cellStyle name="Normal 3 2 6 2 3" xfId="726" xr:uid="{4FB3939E-5DFF-4786-A364-3384A65134CD}"/>
    <cellStyle name="Normal 3 2 6 2 4" xfId="1483" xr:uid="{43CF4938-9FA5-4E65-8BED-C9313FBD0B3A}"/>
    <cellStyle name="Normal 3 2 6 2 5" xfId="1901" xr:uid="{0F3D0247-F348-4F11-8852-09ECC275BC76}"/>
    <cellStyle name="Normal 3 2 6 2_HEU_act" xfId="1156" xr:uid="{33865601-E86E-4374-9203-11EAB72A56BC}"/>
    <cellStyle name="Normal 3 2 6 3" xfId="389" xr:uid="{366AE33A-9286-4185-9979-5F598F88E6E9}"/>
    <cellStyle name="Normal 3 2 6 3 2" xfId="811" xr:uid="{B0E473D2-AF23-4444-BF59-B385CA9D9FA2}"/>
    <cellStyle name="Normal 3 2 6 3 3" xfId="1568" xr:uid="{16FE32E7-E5AF-4847-AC4C-D130BED8DBD5}"/>
    <cellStyle name="Normal 3 2 6 3 4" xfId="1986" xr:uid="{5B61B1B4-F1F3-45A9-97AC-F81F4386E696}"/>
    <cellStyle name="Normal 3 2 6 3_HEU_act" xfId="1158" xr:uid="{60565AF6-500D-4032-BBB5-9086846CD307}"/>
    <cellStyle name="Normal 3 2 6 4" xfId="603" xr:uid="{C35DF59D-8D23-4AB4-A453-257619486096}"/>
    <cellStyle name="Normal 3 2 6 5" xfId="1360" xr:uid="{A474016C-5C58-45F1-829F-0F19ADC81A76}"/>
    <cellStyle name="Normal 3 2 6 6" xfId="1778" xr:uid="{332BEF1F-D235-45F6-9516-536C9AEEF611}"/>
    <cellStyle name="Normal 3 2 6_HEU_act" xfId="1155" xr:uid="{10237462-5B32-46D6-9D83-477C463A631E}"/>
    <cellStyle name="Normal 3 2 7" xfId="233" xr:uid="{763CC1E5-6890-4030-939D-A29E3E9B8800}"/>
    <cellStyle name="Normal 3 2 7 2" xfId="450" xr:uid="{3A471DE1-4E05-4E78-A2A9-3EEAC949BA05}"/>
    <cellStyle name="Normal 3 2 7 2 2" xfId="872" xr:uid="{E7B5263A-E371-4D21-8D15-50AAE9B2CFC1}"/>
    <cellStyle name="Normal 3 2 7 2 3" xfId="1629" xr:uid="{EC747D00-1587-49B1-A65D-7FB6AEFA6639}"/>
    <cellStyle name="Normal 3 2 7 2 4" xfId="2047" xr:uid="{014D2410-9962-4EDA-96F3-8A034389D2C2}"/>
    <cellStyle name="Normal 3 2 7 2_HEU_act" xfId="1160" xr:uid="{9A2EDCC5-C2E8-48BB-B449-DBD9388CEECC}"/>
    <cellStyle name="Normal 3 2 7 3" xfId="664" xr:uid="{373DA92D-8CD2-43E6-904C-72071999E369}"/>
    <cellStyle name="Normal 3 2 7 4" xfId="1421" xr:uid="{9A5AAB97-E785-4C41-97B2-F46232E6CF9F}"/>
    <cellStyle name="Normal 3 2 7 5" xfId="1839" xr:uid="{444200DA-D525-4FBD-A753-735189E14BAF}"/>
    <cellStyle name="Normal 3 2 7_HEU_act" xfId="1159" xr:uid="{FD1C703A-7452-4063-BBBF-94E17BA83364}"/>
    <cellStyle name="Normal 3 2 8" xfId="328" xr:uid="{9A79C6E7-0192-4523-859F-FB4AEB3B7DA8}"/>
    <cellStyle name="Normal 3 2 8 2" xfId="750" xr:uid="{61B524D6-A70A-4EA8-92A4-B6C19EE292A8}"/>
    <cellStyle name="Normal 3 2 8 3" xfId="1507" xr:uid="{7F64BFFC-4A88-4CE0-AD39-A1AA8617D623}"/>
    <cellStyle name="Normal 3 2 8 4" xfId="1925" xr:uid="{49B4A25E-CF8B-437F-9523-67A3F485BE3D}"/>
    <cellStyle name="Normal 3 2 8_HEU_act" xfId="1161" xr:uid="{9C0FC012-EB9F-4C91-9B97-43BB4179BC6E}"/>
    <cellStyle name="Normal 3 2 9" xfId="542" xr:uid="{4338FCC5-085B-4A38-9160-CA6B055ACF38}"/>
    <cellStyle name="Normal 3 2_HEU_act" xfId="1116" xr:uid="{AFFA0BBC-8D49-4FED-8BBF-808CB37AEA0B}"/>
    <cellStyle name="Normal 3 3" xfId="94" xr:uid="{89C16957-CA37-47BF-A5A5-0A4B225337CB}"/>
    <cellStyle name="Normal 3 3 2" xfId="121" xr:uid="{7DB8FA92-B879-4172-A116-FDB1263F52A4}"/>
    <cellStyle name="Normal 3 3 2 2" xfId="198" xr:uid="{C0BBAA2E-A099-4454-B55E-148F54742B89}"/>
    <cellStyle name="Normal 3 3 2 2 2" xfId="415" xr:uid="{7119019E-852C-434A-8C7F-F31C5942611F}"/>
    <cellStyle name="Normal 3 3 2 2 2 2" xfId="837" xr:uid="{F34D58DF-3020-4681-882A-09E104AACB53}"/>
    <cellStyle name="Normal 3 3 2 2 2 3" xfId="1594" xr:uid="{C9A8A598-1531-4693-932F-E9CE2C5E9094}"/>
    <cellStyle name="Normal 3 3 2 2 2 4" xfId="2012" xr:uid="{0B7B6EFA-DDCC-4D75-A39E-F7367F3DC6FD}"/>
    <cellStyle name="Normal 3 3 2 2 2_HEU_act" xfId="1165" xr:uid="{14CA8087-7656-4985-9DED-6B17A249006F}"/>
    <cellStyle name="Normal 3 3 2 2 3" xfId="629" xr:uid="{56A34800-EDA6-47AB-AEF8-5D1CD45518F2}"/>
    <cellStyle name="Normal 3 3 2 2 4" xfId="1386" xr:uid="{50A3E522-9EE9-4CBA-BD22-F93F22FE6D34}"/>
    <cellStyle name="Normal 3 3 2 2 5" xfId="1804" xr:uid="{1270C6B6-8E9E-4651-9282-A9A9BCECCDC8}"/>
    <cellStyle name="Normal 3 3 2 2_HEU_act" xfId="1164" xr:uid="{78CDB07B-64FF-428A-89A5-89E0E4125965}"/>
    <cellStyle name="Normal 3 3 2 3" xfId="259" xr:uid="{0201C5FA-184F-4433-B7A4-1513DCF12FCC}"/>
    <cellStyle name="Normal 3 3 2 3 2" xfId="476" xr:uid="{8BBA0E62-F8E8-4593-8F56-7C769B622950}"/>
    <cellStyle name="Normal 3 3 2 3 2 2" xfId="898" xr:uid="{19BBCA0B-BF4A-4C1E-81ED-53AC5580D5FC}"/>
    <cellStyle name="Normal 3 3 2 3 2 3" xfId="1655" xr:uid="{AFE5A58D-26BB-4597-9DC5-1D330F68EFB1}"/>
    <cellStyle name="Normal 3 3 2 3 2 4" xfId="2073" xr:uid="{ED330A30-7051-48BD-B2C4-52677C842756}"/>
    <cellStyle name="Normal 3 3 2 3 2_HEU_act" xfId="1167" xr:uid="{8DC8DB63-2B31-4E63-9561-D3055ABB339F}"/>
    <cellStyle name="Normal 3 3 2 3 3" xfId="690" xr:uid="{2EC9B1E6-020E-4F87-9486-FAA6CDDC8701}"/>
    <cellStyle name="Normal 3 3 2 3 4" xfId="1447" xr:uid="{8C11C05D-FF7C-4563-80E6-7075AD7DBCC8}"/>
    <cellStyle name="Normal 3 3 2 3 5" xfId="1865" xr:uid="{7AC37AAF-2DCD-44A9-AA6D-E0A4E73109EB}"/>
    <cellStyle name="Normal 3 3 2 3_HEU_act" xfId="1166" xr:uid="{4CC1A6D5-4A8A-4D68-BF33-3B8857ED1032}"/>
    <cellStyle name="Normal 3 3 2 4" xfId="354" xr:uid="{27C8294A-7A39-40BE-AD1D-B10070DA4247}"/>
    <cellStyle name="Normal 3 3 2 4 2" xfId="776" xr:uid="{6EDBA550-7DF9-4EC5-BD68-CE7415EED89E}"/>
    <cellStyle name="Normal 3 3 2 4 3" xfId="1533" xr:uid="{6C97B453-B23C-4E5C-96CC-6559409E0872}"/>
    <cellStyle name="Normal 3 3 2 4 4" xfId="1951" xr:uid="{094E4DF9-C9E3-48EF-A2F9-6D512F757C89}"/>
    <cellStyle name="Normal 3 3 2 4_HEU_act" xfId="1168" xr:uid="{C9CFE47A-3EEC-4026-BCF2-690C9D2633D7}"/>
    <cellStyle name="Normal 3 3 2 5" xfId="568" xr:uid="{87414420-6A11-4D2A-B296-3E52174A3E57}"/>
    <cellStyle name="Normal 3 3 2 6" xfId="1325" xr:uid="{E9140608-0B52-497A-9A34-24C56FF9DED0}"/>
    <cellStyle name="Normal 3 3 2 7" xfId="1743" xr:uid="{B774575D-8953-4968-A74A-120CB0E48724}"/>
    <cellStyle name="Normal 3 3 2_HEU_act" xfId="1163" xr:uid="{2174FF93-57A0-4E27-B51B-A85616467FB3}"/>
    <cellStyle name="Normal 3 3 3" xfId="135" xr:uid="{6C26FCD4-9135-417A-B88F-19C2F3E6D335}"/>
    <cellStyle name="Normal 3 3 3 2" xfId="212" xr:uid="{16C5199B-DE8C-473E-868A-CFBDB3241B59}"/>
    <cellStyle name="Normal 3 3 3 2 2" xfId="429" xr:uid="{E1DFB5AE-4076-444A-B27D-C812F22316AB}"/>
    <cellStyle name="Normal 3 3 3 2 2 2" xfId="851" xr:uid="{0CD1B29B-2876-4B52-956E-81AF40E93F3B}"/>
    <cellStyle name="Normal 3 3 3 2 2 3" xfId="1608" xr:uid="{DB7EC42E-5D6C-4256-9380-C3343458EA69}"/>
    <cellStyle name="Normal 3 3 3 2 2 4" xfId="2026" xr:uid="{C09071D5-1E9C-4919-83F9-D896FB1569F0}"/>
    <cellStyle name="Normal 3 3 3 2 2_HEU_act" xfId="1171" xr:uid="{1181AB86-EBF0-4767-A3A7-C9252617D95E}"/>
    <cellStyle name="Normal 3 3 3 2 3" xfId="643" xr:uid="{D13CB714-3368-4402-A4AB-0018BF76C7E9}"/>
    <cellStyle name="Normal 3 3 3 2 4" xfId="1400" xr:uid="{792D9763-D859-4AE6-A54A-026FA76E75ED}"/>
    <cellStyle name="Normal 3 3 3 2 5" xfId="1818" xr:uid="{87BDAC74-D683-4315-A09F-6216A9CE6E60}"/>
    <cellStyle name="Normal 3 3 3 2_HEU_act" xfId="1170" xr:uid="{C933E79E-8980-4C7C-B707-7C24198B094D}"/>
    <cellStyle name="Normal 3 3 3 3" xfId="273" xr:uid="{C343ABE1-F640-4165-AEE4-C464F5EA300A}"/>
    <cellStyle name="Normal 3 3 3 3 2" xfId="490" xr:uid="{DFB20083-9280-4C74-AD29-398BEA4AC791}"/>
    <cellStyle name="Normal 3 3 3 3 2 2" xfId="912" xr:uid="{FE220D05-5C68-47CA-99AB-1FFBC1A8FA4B}"/>
    <cellStyle name="Normal 3 3 3 3 2 3" xfId="1669" xr:uid="{C51CAA03-5B23-4BCB-B2BE-5F169CB60BEB}"/>
    <cellStyle name="Normal 3 3 3 3 2 4" xfId="2087" xr:uid="{7DEF42FA-A30F-433F-AA24-5BCB179F881C}"/>
    <cellStyle name="Normal 3 3 3 3 2_HEU_act" xfId="1173" xr:uid="{F5F195F7-20C1-4833-AF96-21DB3490267C}"/>
    <cellStyle name="Normal 3 3 3 3 3" xfId="704" xr:uid="{70D4642D-269C-4F41-BCA1-5E93066D24F4}"/>
    <cellStyle name="Normal 3 3 3 3 4" xfId="1461" xr:uid="{B167CCF2-5867-48AE-A463-A757B04823E8}"/>
    <cellStyle name="Normal 3 3 3 3 5" xfId="1879" xr:uid="{89384C2E-5ED7-4925-9420-A4C4539561DC}"/>
    <cellStyle name="Normal 3 3 3 3_HEU_act" xfId="1172" xr:uid="{9EB4E7CC-842B-416E-8156-713935789A85}"/>
    <cellStyle name="Normal 3 3 3 4" xfId="368" xr:uid="{98B3FE57-1461-4C7A-A843-17BF1F54F16A}"/>
    <cellStyle name="Normal 3 3 3 4 2" xfId="790" xr:uid="{162AA115-A56E-4BD8-AAA1-18AD96DF2A60}"/>
    <cellStyle name="Normal 3 3 3 4 3" xfId="1547" xr:uid="{D15BC1A4-B961-4663-B06D-68C51A65A490}"/>
    <cellStyle name="Normal 3 3 3 4 4" xfId="1965" xr:uid="{AD5E4C3E-CF7A-4C37-9AAE-E3422AD38236}"/>
    <cellStyle name="Normal 3 3 3 4_HEU_act" xfId="1174" xr:uid="{4893D223-C603-4B4A-82F3-6F6A51486C73}"/>
    <cellStyle name="Normal 3 3 3 5" xfId="582" xr:uid="{C761DFF0-AFD5-4905-BE80-0F3ACAA10589}"/>
    <cellStyle name="Normal 3 3 3 6" xfId="1339" xr:uid="{B34FFCE6-7835-4043-AA01-0378F04C9769}"/>
    <cellStyle name="Normal 3 3 3 7" xfId="1757" xr:uid="{A051A2C1-77AD-493D-ADC8-06218469E219}"/>
    <cellStyle name="Normal 3 3 3_HEU_act" xfId="1169" xr:uid="{98C25985-33FE-43AE-83D7-90445847DE87}"/>
    <cellStyle name="Normal 3 3 4" xfId="184" xr:uid="{0BA6B7E2-028C-415C-944B-83E7C4957138}"/>
    <cellStyle name="Normal 3 3 4 2" xfId="303" xr:uid="{94915FF1-9E13-48E3-9D95-78AF407F3E43}"/>
    <cellStyle name="Normal 3 3 4 2 2" xfId="515" xr:uid="{70A33BE8-01AF-44DB-8A86-D34A5A432D12}"/>
    <cellStyle name="Normal 3 3 4 2 2 2" xfId="937" xr:uid="{947A2E62-8FD4-4BB2-BB84-1322E2113D0E}"/>
    <cellStyle name="Normal 3 3 4 2 2 3" xfId="1694" xr:uid="{0ECB7E73-2AE6-4B01-BA56-C9241FDAB5B1}"/>
    <cellStyle name="Normal 3 3 4 2 2 4" xfId="2112" xr:uid="{CAB5D575-DD89-4CD6-9ADB-7EE00981FC25}"/>
    <cellStyle name="Normal 3 3 4 2 2_HEU_act" xfId="1177" xr:uid="{4BEA04C8-EE08-48F2-A9A9-EAD921FA8BA5}"/>
    <cellStyle name="Normal 3 3 4 2 3" xfId="729" xr:uid="{A6462498-D151-46DA-BFEC-9DE44C79CAF4}"/>
    <cellStyle name="Normal 3 3 4 2 4" xfId="1486" xr:uid="{8E169721-427E-459E-A72D-7DFAB4E32461}"/>
    <cellStyle name="Normal 3 3 4 2 5" xfId="1904" xr:uid="{BBBBE63F-5789-4C9F-8337-6CC2C0D7A65D}"/>
    <cellStyle name="Normal 3 3 4 2_HEU_act" xfId="1176" xr:uid="{2F2D1178-96DA-49EA-A428-B6E2E9FC878E}"/>
    <cellStyle name="Normal 3 3 4 3" xfId="401" xr:uid="{EE5FA712-17D0-462C-809A-F28A94D32688}"/>
    <cellStyle name="Normal 3 3 4 3 2" xfId="823" xr:uid="{D0171ED2-3D88-4852-A96E-44828DF9C65B}"/>
    <cellStyle name="Normal 3 3 4 3 3" xfId="1580" xr:uid="{D6F3FEBD-FE5A-4539-9824-F7BE6E37B378}"/>
    <cellStyle name="Normal 3 3 4 3 4" xfId="1998" xr:uid="{37DA69EF-C2D2-44CD-A0CA-8E5E7152EE47}"/>
    <cellStyle name="Normal 3 3 4 3_HEU_act" xfId="1178" xr:uid="{F423F30D-32DE-421A-BB73-2C8854D187F3}"/>
    <cellStyle name="Normal 3 3 4 4" xfId="615" xr:uid="{E11DC436-05D7-4327-9777-7FAD7D99E3E1}"/>
    <cellStyle name="Normal 3 3 4 5" xfId="1372" xr:uid="{B476B846-6765-4987-9C7C-97F6F5A0B6E9}"/>
    <cellStyle name="Normal 3 3 4 6" xfId="1790" xr:uid="{7DE526BE-0D42-4DA7-857B-0153929A7BD2}"/>
    <cellStyle name="Normal 3 3 4_HEU_act" xfId="1175" xr:uid="{409955E6-141A-40D0-9E7B-7C77610B2F3D}"/>
    <cellStyle name="Normal 3 3 5" xfId="245" xr:uid="{3AB0ED0B-3B81-4580-A970-D134C74D9CAB}"/>
    <cellStyle name="Normal 3 3 5 2" xfId="462" xr:uid="{AC8F16F1-E468-4F7D-8427-B1CC416EBC7E}"/>
    <cellStyle name="Normal 3 3 5 2 2" xfId="884" xr:uid="{79170A11-A52A-4173-90CE-DF9DA7035DD4}"/>
    <cellStyle name="Normal 3 3 5 2 3" xfId="1641" xr:uid="{20B6849A-A366-4853-B83D-60A347FCE5EC}"/>
    <cellStyle name="Normal 3 3 5 2 4" xfId="2059" xr:uid="{14E91361-8A7D-4C54-9BBE-2673B4B2E026}"/>
    <cellStyle name="Normal 3 3 5 2_HEU_act" xfId="1180" xr:uid="{980A872E-B959-49BB-9885-FDF2A779E710}"/>
    <cellStyle name="Normal 3 3 5 3" xfId="676" xr:uid="{4E51E32A-9BDE-4425-BA25-6CCE501DF9C0}"/>
    <cellStyle name="Normal 3 3 5 4" xfId="1433" xr:uid="{C6D4902A-640C-4816-873E-57BD411722F2}"/>
    <cellStyle name="Normal 3 3 5 5" xfId="1851" xr:uid="{182BCA94-9719-47AB-85AA-76297065D91E}"/>
    <cellStyle name="Normal 3 3 5_HEU_act" xfId="1179" xr:uid="{E7ACC873-4F6A-4834-A800-4CBCBB936E5B}"/>
    <cellStyle name="Normal 3 3 6" xfId="340" xr:uid="{9856A2AE-4496-44B4-AFEC-3EC06537CB8E}"/>
    <cellStyle name="Normal 3 3 6 2" xfId="762" xr:uid="{8DCC460B-A431-4E4D-BBB1-F280CE4466C7}"/>
    <cellStyle name="Normal 3 3 6 3" xfId="1519" xr:uid="{EAE9C4B1-678C-4BA6-9514-B44D5BB0246F}"/>
    <cellStyle name="Normal 3 3 6 4" xfId="1937" xr:uid="{499D4DDD-2D79-4597-8800-00F1042D21A3}"/>
    <cellStyle name="Normal 3 3 6_HEU_act" xfId="1181" xr:uid="{6190BF1E-6AC5-4FA9-9BD6-159165C0548E}"/>
    <cellStyle name="Normal 3 3 7" xfId="554" xr:uid="{D24EE5CD-3610-478E-B232-5B1E40F4CD36}"/>
    <cellStyle name="Normal 3 3 8" xfId="1311" xr:uid="{96CF1AF7-A48B-4940-B2CB-09E721CE990E}"/>
    <cellStyle name="Normal 3 3 9" xfId="1729" xr:uid="{36873DB0-666B-4689-8BFF-FD7B17CF742A}"/>
    <cellStyle name="Normal 3 3_HEU_act" xfId="1162" xr:uid="{AEDC665D-7F15-4A8A-AF59-667F4C1A9F01}"/>
    <cellStyle name="Normal 3 4" xfId="85" xr:uid="{F4A5F1C2-3E36-4C28-BDB7-2B897C3063F0}"/>
    <cellStyle name="Normal 3 4 2" xfId="176" xr:uid="{EBA3FC6E-4A68-4314-AD87-7749386B3C17}"/>
    <cellStyle name="Normal 3 4 2 2" xfId="295" xr:uid="{1A54DFD9-EF1F-4A45-A4D8-B02C8F74AE6E}"/>
    <cellStyle name="Normal 3 4 2 2 2" xfId="508" xr:uid="{402A03BD-C667-4E68-911D-911A49DC7445}"/>
    <cellStyle name="Normal 3 4 2 2 2 2" xfId="930" xr:uid="{CE6EBC03-D7CC-4193-BF75-9E975CEFDE2C}"/>
    <cellStyle name="Normal 3 4 2 2 2 3" xfId="1687" xr:uid="{DE7F0596-8194-4F20-9997-6043B288E00E}"/>
    <cellStyle name="Normal 3 4 2 2 2 4" xfId="2105" xr:uid="{3B00DF23-4649-4E84-B5E7-A75C068EAD9D}"/>
    <cellStyle name="Normal 3 4 2 2 2_HEU_act" xfId="1185" xr:uid="{1524F4EB-ADAC-4E52-94A2-109F37D8BCE3}"/>
    <cellStyle name="Normal 3 4 2 2 3" xfId="722" xr:uid="{FE7454CA-4783-418C-B353-5FB9D84905AC}"/>
    <cellStyle name="Normal 3 4 2 2 4" xfId="1479" xr:uid="{9D2BAB4F-E88C-41AC-BB42-2540B65EC670}"/>
    <cellStyle name="Normal 3 4 2 2 5" xfId="1897" xr:uid="{E8E71E67-50DB-4849-AF4A-4DDEC391527E}"/>
    <cellStyle name="Normal 3 4 2 2_HEU_act" xfId="1184" xr:uid="{5B06D70B-D87B-4212-831A-FD2485DE1F02}"/>
    <cellStyle name="Normal 3 4 2 3" xfId="393" xr:uid="{DFEA9B6E-5E09-4A43-AA57-9D0DD579E35F}"/>
    <cellStyle name="Normal 3 4 2 3 2" xfId="815" xr:uid="{0620EF73-99B9-4C03-AA61-25A36F28900B}"/>
    <cellStyle name="Normal 3 4 2 3 3" xfId="1572" xr:uid="{0C9C17CB-D76D-4C1F-8332-B096AB2EF381}"/>
    <cellStyle name="Normal 3 4 2 3 4" xfId="1990" xr:uid="{E8564EF5-6971-4E06-AD54-6C6DE2A6423C}"/>
    <cellStyle name="Normal 3 4 2 3_HEU_act" xfId="1186" xr:uid="{2F2699D4-D6EA-4F2F-A994-432072807A71}"/>
    <cellStyle name="Normal 3 4 2 4" xfId="607" xr:uid="{6B11B029-C2ED-4C81-823F-C4FA387F696C}"/>
    <cellStyle name="Normal 3 4 2 5" xfId="1364" xr:uid="{CD6AA489-7FF5-4100-ACEE-FF0A4A44861A}"/>
    <cellStyle name="Normal 3 4 2 6" xfId="1782" xr:uid="{6D5EE628-7B24-4A06-BB5E-8D7BCB3AE075}"/>
    <cellStyle name="Normal 3 4 2_HEU_act" xfId="1183" xr:uid="{885611C5-B990-49F2-A6E2-581773E1FE11}"/>
    <cellStyle name="Normal 3 4 3" xfId="237" xr:uid="{9B7CE356-5994-4BE8-8FDE-A99873C1C7A9}"/>
    <cellStyle name="Normal 3 4 3 2" xfId="454" xr:uid="{5246645F-135B-4CA4-8AC9-C77BE5AE93C7}"/>
    <cellStyle name="Normal 3 4 3 2 2" xfId="876" xr:uid="{F798EC32-500F-48A7-A23A-72BB6AD4FEBA}"/>
    <cellStyle name="Normal 3 4 3 2 3" xfId="1633" xr:uid="{1A2832AB-DC53-4CA6-A631-7B8C954AB449}"/>
    <cellStyle name="Normal 3 4 3 2 4" xfId="2051" xr:uid="{490011A1-1621-4394-9A93-D9FEA30EECC8}"/>
    <cellStyle name="Normal 3 4 3 2_HEU_act" xfId="1188" xr:uid="{6C7CB1C1-43AA-4D47-9932-8BA85B1DA774}"/>
    <cellStyle name="Normal 3 4 3 3" xfId="668" xr:uid="{0BC81A72-F6B9-410F-AAA0-62FBEC03D243}"/>
    <cellStyle name="Normal 3 4 3 4" xfId="1425" xr:uid="{66CCD8C7-14F3-4B49-888B-1319B00044A7}"/>
    <cellStyle name="Normal 3 4 3 5" xfId="1843" xr:uid="{AAA9D704-C2C8-4781-8905-A6C2AAD72CED}"/>
    <cellStyle name="Normal 3 4 3_HEU_act" xfId="1187" xr:uid="{B4998028-3719-44BB-BFC8-6793C3168948}"/>
    <cellStyle name="Normal 3 4 4" xfId="332" xr:uid="{B3820BF8-0361-4725-B0B6-7C43FEB072ED}"/>
    <cellStyle name="Normal 3 4 4 2" xfId="754" xr:uid="{0E016836-58A9-4482-B6FA-EA30A42D81AC}"/>
    <cellStyle name="Normal 3 4 4 3" xfId="1511" xr:uid="{6D722563-B215-4DEA-96EA-7E388668556B}"/>
    <cellStyle name="Normal 3 4 4 4" xfId="1929" xr:uid="{E02CE823-B756-4B66-A3D0-6C28B44A9516}"/>
    <cellStyle name="Normal 3 4 4_HEU_act" xfId="1189" xr:uid="{72B7DCEE-FEC1-44A5-BDF5-751122AC2665}"/>
    <cellStyle name="Normal 3 4 5" xfId="546" xr:uid="{2C5BF6ED-C31E-4698-9072-100F93DEBA52}"/>
    <cellStyle name="Normal 3 4 6" xfId="1303" xr:uid="{3E519FFB-C256-4047-9DBB-DB60BA569CA6}"/>
    <cellStyle name="Normal 3 4 7" xfId="1721" xr:uid="{C6A44E1F-ACFC-4066-9E8F-1DA419710EA6}"/>
    <cellStyle name="Normal 3 4_HEU_act" xfId="1182" xr:uid="{936B4669-4111-4963-9F60-8862E45A3F06}"/>
    <cellStyle name="Normal 3 5" xfId="113" xr:uid="{77A40CA5-F3A4-44AD-B484-93A8C7FF88D3}"/>
    <cellStyle name="Normal 3 5 2" xfId="190" xr:uid="{1EAF98B2-EEF8-44CD-841F-4878F604C9EC}"/>
    <cellStyle name="Normal 3 5 2 2" xfId="407" xr:uid="{7F93FFAC-424E-4778-B744-6203D35E2ABF}"/>
    <cellStyle name="Normal 3 5 2 2 2" xfId="829" xr:uid="{FDF3D192-181D-402B-BA25-EF7482DA08F1}"/>
    <cellStyle name="Normal 3 5 2 2 3" xfId="1586" xr:uid="{84D2CF66-0D2C-4F3E-8BD1-F8807290A806}"/>
    <cellStyle name="Normal 3 5 2 2 4" xfId="2004" xr:uid="{0D3CED17-4910-42BE-9360-E6C20C1D05EB}"/>
    <cellStyle name="Normal 3 5 2 2_HEU_act" xfId="1192" xr:uid="{16C88176-7C01-40CC-A649-689916B5A0B6}"/>
    <cellStyle name="Normal 3 5 2 3" xfId="621" xr:uid="{4B0D1F0A-48EE-4BA5-8F59-811835A892FC}"/>
    <cellStyle name="Normal 3 5 2 4" xfId="1378" xr:uid="{302B7A3A-2A16-4005-951C-1406822E00F0}"/>
    <cellStyle name="Normal 3 5 2 5" xfId="1796" xr:uid="{52D4FB20-A0B3-46CE-BB32-977B62BFEAD0}"/>
    <cellStyle name="Normal 3 5 2_HEU_act" xfId="1191" xr:uid="{39136601-9838-4167-A02A-EC5E876E20DD}"/>
    <cellStyle name="Normal 3 5 3" xfId="251" xr:uid="{5476C303-031A-42F1-A9F6-4A70FE2BF7AA}"/>
    <cellStyle name="Normal 3 5 3 2" xfId="468" xr:uid="{82C5C9EE-DC7F-4E68-A490-207303A405B3}"/>
    <cellStyle name="Normal 3 5 3 2 2" xfId="890" xr:uid="{6625EA60-564D-4650-84F0-7C08869273B4}"/>
    <cellStyle name="Normal 3 5 3 2 3" xfId="1647" xr:uid="{19DE4327-C83B-4625-BB96-6A14E02EC8F4}"/>
    <cellStyle name="Normal 3 5 3 2 4" xfId="2065" xr:uid="{8D080E8B-1D8D-4FA6-B5F4-0C0C15098EB6}"/>
    <cellStyle name="Normal 3 5 3 2_HEU_act" xfId="1194" xr:uid="{B27F9E97-72E9-4260-80C9-08F5B7E2877D}"/>
    <cellStyle name="Normal 3 5 3 3" xfId="682" xr:uid="{1FC0318B-7C25-4D04-AD81-3F7408181A0B}"/>
    <cellStyle name="Normal 3 5 3 4" xfId="1439" xr:uid="{BF99EECC-7FD9-44DB-8C3E-BB577190E7AA}"/>
    <cellStyle name="Normal 3 5 3 5" xfId="1857" xr:uid="{C0A8E384-2E88-472E-8C79-8E53C6D7D316}"/>
    <cellStyle name="Normal 3 5 3_HEU_act" xfId="1193" xr:uid="{0319C6E3-C16F-4418-B762-9AA863F998B8}"/>
    <cellStyle name="Normal 3 5 4" xfId="346" xr:uid="{09869B3D-69C8-46C3-A579-061DA4141B2D}"/>
    <cellStyle name="Normal 3 5 4 2" xfId="768" xr:uid="{B1E30F27-B6E4-4443-8312-2EFC61B41DF6}"/>
    <cellStyle name="Normal 3 5 4 3" xfId="1525" xr:uid="{9C88C2CD-1C79-47A5-9B11-F92E5754DF77}"/>
    <cellStyle name="Normal 3 5 4 4" xfId="1943" xr:uid="{E8B8D011-3AF3-4665-A409-9BD80DDE58BC}"/>
    <cellStyle name="Normal 3 5 4_HEU_act" xfId="1195" xr:uid="{9CA226AE-9C10-457E-933B-9F519AAB6B8A}"/>
    <cellStyle name="Normal 3 5 5" xfId="560" xr:uid="{E52C5743-3393-4D10-A1F7-B0A001058973}"/>
    <cellStyle name="Normal 3 5 6" xfId="1317" xr:uid="{9507310F-6C20-4078-8DD5-A0BAB8B87863}"/>
    <cellStyle name="Normal 3 5 7" xfId="1735" xr:uid="{B1F2C5B1-A75C-4499-85BA-459EEDA0D57B}"/>
    <cellStyle name="Normal 3 5_HEU_act" xfId="1190" xr:uid="{127B6AA5-0FEF-4CA7-B4A3-7CC427D5C652}"/>
    <cellStyle name="Normal 3 6" xfId="127" xr:uid="{35CA1306-099D-4A89-B247-9C739E32F626}"/>
    <cellStyle name="Normal 3 6 2" xfId="204" xr:uid="{401FD9D5-076F-43B8-BE27-B3127492B072}"/>
    <cellStyle name="Normal 3 6 2 2" xfId="421" xr:uid="{01FB9BE6-E979-4F45-9C31-5B1639FCB554}"/>
    <cellStyle name="Normal 3 6 2 2 2" xfId="843" xr:uid="{F259EB30-FA1A-40BA-B39E-324819608447}"/>
    <cellStyle name="Normal 3 6 2 2 3" xfId="1600" xr:uid="{30AEFAC1-A1A3-4A60-9DAA-AB0BEFD9C16B}"/>
    <cellStyle name="Normal 3 6 2 2 4" xfId="2018" xr:uid="{A92CD6B0-7E4E-4293-A44F-525E12C7CA66}"/>
    <cellStyle name="Normal 3 6 2 2_HEU_act" xfId="1198" xr:uid="{325AFE36-71C6-4BFF-8906-BB8AC503268D}"/>
    <cellStyle name="Normal 3 6 2 3" xfId="635" xr:uid="{89856C3E-D9B3-479A-840D-99FCDDEA695C}"/>
    <cellStyle name="Normal 3 6 2 4" xfId="1392" xr:uid="{C597790F-6FCA-4B9B-B9E8-E5A6D2E1CDB0}"/>
    <cellStyle name="Normal 3 6 2 5" xfId="1810" xr:uid="{E538EF44-B9E0-44F2-A9BD-23496644C1B7}"/>
    <cellStyle name="Normal 3 6 2_HEU_act" xfId="1197" xr:uid="{6688B67B-32CB-465B-ABDF-E19F55D87469}"/>
    <cellStyle name="Normal 3 6 3" xfId="265" xr:uid="{25695653-4B55-4A78-92CC-50F2518A5389}"/>
    <cellStyle name="Normal 3 6 3 2" xfId="482" xr:uid="{9E04B7AE-AF37-4EAC-B33F-1504CE110904}"/>
    <cellStyle name="Normal 3 6 3 2 2" xfId="904" xr:uid="{F0A1CF31-92E7-4224-B4CC-9763589519EB}"/>
    <cellStyle name="Normal 3 6 3 2 3" xfId="1661" xr:uid="{48B1030B-D1F7-4EE5-87D5-EC4D41556020}"/>
    <cellStyle name="Normal 3 6 3 2 4" xfId="2079" xr:uid="{DF11CFD6-C9E7-46D4-90C8-0797E41FA31C}"/>
    <cellStyle name="Normal 3 6 3 2_HEU_act" xfId="1200" xr:uid="{88ECF294-24C3-4F4C-83DD-CB9D9595A6B0}"/>
    <cellStyle name="Normal 3 6 3 3" xfId="696" xr:uid="{DFFE115F-E79C-447A-A36E-F4FCCEBDACEA}"/>
    <cellStyle name="Normal 3 6 3 4" xfId="1453" xr:uid="{68514C03-6CBC-45EF-B9DA-636E05C19B06}"/>
    <cellStyle name="Normal 3 6 3 5" xfId="1871" xr:uid="{1A16A1F3-422D-4141-8E33-4A6FCF0D8585}"/>
    <cellStyle name="Normal 3 6 3_HEU_act" xfId="1199" xr:uid="{E2C87430-18B1-4355-8782-85F9D58AAF22}"/>
    <cellStyle name="Normal 3 6 4" xfId="360" xr:uid="{AA2DFD77-68C3-468F-907C-0FBEC5D06BE3}"/>
    <cellStyle name="Normal 3 6 4 2" xfId="782" xr:uid="{99B10D8C-7AC0-4AB1-887E-FFC0014059F7}"/>
    <cellStyle name="Normal 3 6 4 3" xfId="1539" xr:uid="{15BEB483-F3BD-4789-9999-EC3E6E6F5403}"/>
    <cellStyle name="Normal 3 6 4 4" xfId="1957" xr:uid="{B838D189-5170-4AB7-8035-8FE288FC8809}"/>
    <cellStyle name="Normal 3 6 4_HEU_act" xfId="1201" xr:uid="{3E54009F-BAD6-40D5-AAE2-474FAD01613D}"/>
    <cellStyle name="Normal 3 6 5" xfId="574" xr:uid="{CFA293DB-0E1A-4F34-897A-A647766D2EE6}"/>
    <cellStyle name="Normal 3 6 6" xfId="1331" xr:uid="{91A0F6A5-895B-4B25-AD49-98232F3715D9}"/>
    <cellStyle name="Normal 3 6 7" xfId="1749" xr:uid="{BE78D6C3-7142-4810-9F99-73A4C6B978EB}"/>
    <cellStyle name="Normal 3 6_HEU_act" xfId="1196" xr:uid="{1485B96D-B40C-4447-883E-0B406DF6CF1E}"/>
    <cellStyle name="Normal 3 7" xfId="157" xr:uid="{86CD3986-DEF4-48EA-9C1E-78A058FF7790}"/>
    <cellStyle name="Normal 3 7 2" xfId="291" xr:uid="{3E177D7C-897E-4BD6-8A5D-655C6ABB3A24}"/>
    <cellStyle name="Normal 3 7 3" xfId="374" xr:uid="{37AC8944-3293-4D21-B612-0CAADA07BF0D}"/>
    <cellStyle name="Normal 3 7 3 2" xfId="796" xr:uid="{C12B82D4-8E89-4D02-A355-F25AA0DDD20E}"/>
    <cellStyle name="Normal 3 7 3 3" xfId="1553" xr:uid="{2B9271B5-A924-4503-9936-0183682FE510}"/>
    <cellStyle name="Normal 3 7 3 4" xfId="1971" xr:uid="{C4BE50A9-3510-41C5-B851-00DC18219DE2}"/>
    <cellStyle name="Normal 3 7 3_HEU_act" xfId="1203" xr:uid="{ACD96592-4F6C-4EEC-87D2-A2F111CFD98D}"/>
    <cellStyle name="Normal 3 7 4" xfId="588" xr:uid="{B6ED5473-1CF5-44D0-8373-437222F2156E}"/>
    <cellStyle name="Normal 3 7 5" xfId="1345" xr:uid="{5CEACAA6-5F0C-442B-87EC-566600811E76}"/>
    <cellStyle name="Normal 3 7 6" xfId="1763" xr:uid="{ED876959-928F-4FEE-93F9-CBDA35365358}"/>
    <cellStyle name="Normal 3 7_HEU_act" xfId="1202" xr:uid="{EED3B1AE-F8E2-442E-86F0-139102168C7D}"/>
    <cellStyle name="Normal 3 8" xfId="218" xr:uid="{8476AA3E-7AD3-4718-A790-650B76AAFF3D}"/>
    <cellStyle name="Normal 3 8 2" xfId="435" xr:uid="{1438B17F-F320-4E67-BE87-056455C2C7EA}"/>
    <cellStyle name="Normal 3 8 2 2" xfId="857" xr:uid="{84644716-78B7-445D-AA14-C10B894FBF2E}"/>
    <cellStyle name="Normal 3 8 2 3" xfId="1614" xr:uid="{CCA43C3E-91F0-42EA-997C-73E281D0DCAC}"/>
    <cellStyle name="Normal 3 8 2 4" xfId="2032" xr:uid="{56031257-714A-4B8E-ADE9-A870E33E6CD9}"/>
    <cellStyle name="Normal 3 8 2_HEU_act" xfId="1205" xr:uid="{E8EADB3F-FE12-4457-9B36-F4B76BEA9B58}"/>
    <cellStyle name="Normal 3 8 3" xfId="649" xr:uid="{54E82513-0496-462B-B1A4-60CBCC7EDFD2}"/>
    <cellStyle name="Normal 3 8 4" xfId="1406" xr:uid="{F771F9FD-12E3-47A5-83E6-7D223D6DCF92}"/>
    <cellStyle name="Normal 3 8 5" xfId="1824" xr:uid="{49AD9458-27B0-4184-AC5A-3BFA375EC8BE}"/>
    <cellStyle name="Normal 3 8_HEU_act" xfId="1204" xr:uid="{5999CEDB-2749-40C2-AEB8-2F4A494B2AC4}"/>
    <cellStyle name="Normal 3 9" xfId="313" xr:uid="{D19180FF-9887-4856-A3A6-EA99916A6CF8}"/>
    <cellStyle name="Normal 3 9 2" xfId="735" xr:uid="{E2412099-25EC-4CC3-B51B-234FAD6E125F}"/>
    <cellStyle name="Normal 3 9 3" xfId="1492" xr:uid="{AF56A93C-3242-44CA-884F-FBC9A648A1BC}"/>
    <cellStyle name="Normal 3 9 4" xfId="1910" xr:uid="{F9D6995C-85EC-4906-AF79-2C9254D7DF45}"/>
    <cellStyle name="Normal 3 9_HEU_act" xfId="1206" xr:uid="{728E439C-FA61-4DE4-8372-55F2CC5B686D}"/>
    <cellStyle name="Normal 3_HEU_act" xfId="1115" xr:uid="{7F6329E3-96D0-4ACA-AEF3-3D1A0D87305A}"/>
    <cellStyle name="Normal 4" xfId="15" xr:uid="{3A82963B-D7F8-45E2-8D9F-F32B77E659BF}"/>
    <cellStyle name="Normal 4 10" xfId="528" xr:uid="{6A61FA3A-A191-4352-8863-BF504B2DCD63}"/>
    <cellStyle name="Normal 4 11" xfId="1284" xr:uid="{77016AA7-C887-4556-970B-1B3B0A2A5084}"/>
    <cellStyle name="Normal 4 12" xfId="1702" xr:uid="{763C8B24-A590-4FD1-BF37-280484E2CAE1}"/>
    <cellStyle name="Normal 4 13" xfId="2126" xr:uid="{E40ACF4E-C282-4EAD-BB24-D474F32597A0}"/>
    <cellStyle name="Normal 4 14" xfId="2140" xr:uid="{60E39FE9-08C7-4584-9768-BC19A02529AE}"/>
    <cellStyle name="Normal 4 2" xfId="91" xr:uid="{2E4EF841-CE5B-4853-B493-DBDFE55AC75D}"/>
    <cellStyle name="Normal 4 2 2" xfId="119" xr:uid="{E579A4A9-B7DD-41C3-9491-7E79D693CE34}"/>
    <cellStyle name="Normal 4 2 2 2" xfId="196" xr:uid="{5B849723-B7A9-4E52-A5F6-A3225181739E}"/>
    <cellStyle name="Normal 4 2 2 2 2" xfId="413" xr:uid="{CEF66CB0-696F-48AD-AF9D-3F5086D882CD}"/>
    <cellStyle name="Normal 4 2 2 2 2 2" xfId="835" xr:uid="{370728DA-F876-4D9E-BF1B-163375197B67}"/>
    <cellStyle name="Normal 4 2 2 2 2 3" xfId="1592" xr:uid="{A036D8DB-AC47-4EF4-8875-3356DDB99BDA}"/>
    <cellStyle name="Normal 4 2 2 2 2 4" xfId="2010" xr:uid="{CAA11882-F538-4AF4-B05F-1B981FE239FA}"/>
    <cellStyle name="Normal 4 2 2 2 2_HEU_act" xfId="1211" xr:uid="{D96AC5E7-D56C-49D7-BDD6-D97969BC8382}"/>
    <cellStyle name="Normal 4 2 2 2 3" xfId="627" xr:uid="{758B6604-50B8-47D4-A321-7CF52884D5BA}"/>
    <cellStyle name="Normal 4 2 2 2 4" xfId="1384" xr:uid="{C9F63761-0DD7-4317-AB8D-E926C86B5E1D}"/>
    <cellStyle name="Normal 4 2 2 2 5" xfId="1802" xr:uid="{ABFE641F-EFC8-4CF1-989E-A6946E02773A}"/>
    <cellStyle name="Normal 4 2 2 2_HEU_act" xfId="1210" xr:uid="{5C1B94C1-3A14-447D-A422-B82164436E3F}"/>
    <cellStyle name="Normal 4 2 2 3" xfId="257" xr:uid="{9BA2BE32-8DD0-4614-B7C5-186AC2DCEA6B}"/>
    <cellStyle name="Normal 4 2 2 3 2" xfId="474" xr:uid="{6FF0FCD9-1CBA-4876-9912-E1521F2E30C7}"/>
    <cellStyle name="Normal 4 2 2 3 2 2" xfId="896" xr:uid="{06B660FF-1754-499C-95B3-8E3C38C19562}"/>
    <cellStyle name="Normal 4 2 2 3 2 3" xfId="1653" xr:uid="{D66EDAC7-9E51-4DEB-9920-619AAA749623}"/>
    <cellStyle name="Normal 4 2 2 3 2 4" xfId="2071" xr:uid="{32BE771B-D878-4491-AA2B-071C84BF66D4}"/>
    <cellStyle name="Normal 4 2 2 3 2_HEU_act" xfId="1213" xr:uid="{F1D88B64-1775-4496-940E-2B41904C5D29}"/>
    <cellStyle name="Normal 4 2 2 3 3" xfId="688" xr:uid="{E7A892C3-124F-43E4-91E2-5978517FD183}"/>
    <cellStyle name="Normal 4 2 2 3 4" xfId="1445" xr:uid="{78EC25DD-5773-4E46-9041-D8589EFD5D0E}"/>
    <cellStyle name="Normal 4 2 2 3 5" xfId="1863" xr:uid="{1625D178-B3DA-47F0-8D37-3F4998D89A81}"/>
    <cellStyle name="Normal 4 2 2 3_HEU_act" xfId="1212" xr:uid="{8B91D346-C553-4C38-8FEE-35066C2F03CE}"/>
    <cellStyle name="Normal 4 2 2 4" xfId="352" xr:uid="{6DFB33F2-FCEE-4935-BFBB-47C6867EE3BF}"/>
    <cellStyle name="Normal 4 2 2 4 2" xfId="774" xr:uid="{E7B92512-EE16-4B69-AE6A-E28664E976DF}"/>
    <cellStyle name="Normal 4 2 2 4 3" xfId="1531" xr:uid="{2A903BFA-6FFF-4729-95C7-D96AFA1C96AE}"/>
    <cellStyle name="Normal 4 2 2 4 4" xfId="1949" xr:uid="{24F46B5E-54A9-48D5-9D68-58FEE4057576}"/>
    <cellStyle name="Normal 4 2 2 4_HEU_act" xfId="1214" xr:uid="{BA565856-3A7E-4CA3-A959-F00ADCA529DA}"/>
    <cellStyle name="Normal 4 2 2 5" xfId="566" xr:uid="{AE126697-D981-4188-9C7D-CF202FB1A32E}"/>
    <cellStyle name="Normal 4 2 2 6" xfId="1323" xr:uid="{4998BF92-A0DE-4483-9983-7687D2893B45}"/>
    <cellStyle name="Normal 4 2 2 7" xfId="1741" xr:uid="{8A45D5A1-BB58-4AE0-A7DE-107F737DE81E}"/>
    <cellStyle name="Normal 4 2 2_HEU_act" xfId="1209" xr:uid="{AD68C623-BEA9-42F1-99B9-F0BF5E0410D7}"/>
    <cellStyle name="Normal 4 2 3" xfId="133" xr:uid="{B2BD06B7-357E-48BC-B27E-1F9FBAD71008}"/>
    <cellStyle name="Normal 4 2 3 2" xfId="210" xr:uid="{C4E518E4-F9B4-44B2-9D97-BFBDF01E1736}"/>
    <cellStyle name="Normal 4 2 3 2 2" xfId="427" xr:uid="{7830BC76-690A-4E3D-89E3-43C96714BA7A}"/>
    <cellStyle name="Normal 4 2 3 2 2 2" xfId="849" xr:uid="{65C5ABE2-1359-41BD-A81E-5D31CA0753A3}"/>
    <cellStyle name="Normal 4 2 3 2 2 3" xfId="1606" xr:uid="{23C0A7D4-6543-42CE-B210-1841AB660CB0}"/>
    <cellStyle name="Normal 4 2 3 2 2 4" xfId="2024" xr:uid="{0B708F9E-C7C8-4342-B1AB-451EF50246B9}"/>
    <cellStyle name="Normal 4 2 3 2 2_HEU_act" xfId="1217" xr:uid="{35E39927-01BD-4898-9865-E791E9E217FB}"/>
    <cellStyle name="Normal 4 2 3 2 3" xfId="641" xr:uid="{C661B089-A4A8-42F0-94DE-739C7C2DC3A0}"/>
    <cellStyle name="Normal 4 2 3 2 4" xfId="1398" xr:uid="{63708A3B-501A-4F6F-91CD-7A61D2365360}"/>
    <cellStyle name="Normal 4 2 3 2 5" xfId="1816" xr:uid="{E5A55761-FE68-4CD9-9BFC-B1DC11088480}"/>
    <cellStyle name="Normal 4 2 3 2_HEU_act" xfId="1216" xr:uid="{1BB54550-D7F7-4E51-9E27-67C9F3DF5468}"/>
    <cellStyle name="Normal 4 2 3 3" xfId="271" xr:uid="{930F5A0C-1142-413E-A799-57338025DA71}"/>
    <cellStyle name="Normal 4 2 3 3 2" xfId="488" xr:uid="{6FA0A023-C6AC-4F7D-A1B5-107710459E85}"/>
    <cellStyle name="Normal 4 2 3 3 2 2" xfId="910" xr:uid="{CE7025F1-7329-4E3C-ACF9-7937967C756C}"/>
    <cellStyle name="Normal 4 2 3 3 2 3" xfId="1667" xr:uid="{075F8F29-C437-4EFE-91E1-DC990CFCE139}"/>
    <cellStyle name="Normal 4 2 3 3 2 4" xfId="2085" xr:uid="{89455805-031B-4B36-87E9-A0526CEDAB46}"/>
    <cellStyle name="Normal 4 2 3 3 2_HEU_act" xfId="1219" xr:uid="{56A1E244-BA62-4A4F-944E-EFFB756C16A6}"/>
    <cellStyle name="Normal 4 2 3 3 3" xfId="702" xr:uid="{C17549A0-85E8-499F-9EEA-C0D479C0D1EF}"/>
    <cellStyle name="Normal 4 2 3 3 4" xfId="1459" xr:uid="{C17103A3-D22A-4DE0-8D91-A31EC8C57910}"/>
    <cellStyle name="Normal 4 2 3 3 5" xfId="1877" xr:uid="{334F44E8-84E7-437D-8EC4-23F029CF7148}"/>
    <cellStyle name="Normal 4 2 3 3_HEU_act" xfId="1218" xr:uid="{2B66C120-98EA-40EE-BB28-631AAAC768E4}"/>
    <cellStyle name="Normal 4 2 3 4" xfId="366" xr:uid="{1B98307B-40DD-43B3-BA5C-25E03842BB60}"/>
    <cellStyle name="Normal 4 2 3 4 2" xfId="788" xr:uid="{1DA37434-D6BF-4A2F-8075-859EC00F1EC4}"/>
    <cellStyle name="Normal 4 2 3 4 3" xfId="1545" xr:uid="{B0D47085-4185-41C1-A981-A5A722A6101A}"/>
    <cellStyle name="Normal 4 2 3 4 4" xfId="1963" xr:uid="{B81A5B36-A191-4A38-B463-E50ECB8DADF0}"/>
    <cellStyle name="Normal 4 2 3 4_HEU_act" xfId="1220" xr:uid="{08667099-4E53-4368-BD54-6FA5E9CACF36}"/>
    <cellStyle name="Normal 4 2 3 5" xfId="580" xr:uid="{6D2811E7-2E91-49A5-B977-0467DCA5D5E6}"/>
    <cellStyle name="Normal 4 2 3 6" xfId="1337" xr:uid="{FEA394DD-4A40-4BE6-984E-A0C9ED396889}"/>
    <cellStyle name="Normal 4 2 3 7" xfId="1755" xr:uid="{75E2AA0F-9B1B-4F5F-B255-CA14F6E9F3EB}"/>
    <cellStyle name="Normal 4 2 3_HEU_act" xfId="1215" xr:uid="{8B68D73B-591B-41B8-AB48-C3A5C7FE1CB8}"/>
    <cellStyle name="Normal 4 2 4" xfId="182" xr:uid="{F86A6EB0-CB46-4318-B89B-9D3A618C73DC}"/>
    <cellStyle name="Normal 4 2 4 2" xfId="301" xr:uid="{0E138846-1D32-4E25-87BF-0F866BE5A15E}"/>
    <cellStyle name="Normal 4 2 4 2 2" xfId="513" xr:uid="{2A9EF021-D23A-4E37-B3F4-68F44B9EC9AC}"/>
    <cellStyle name="Normal 4 2 4 2 2 2" xfId="935" xr:uid="{19489538-6426-42F4-9DD7-309CD61555C4}"/>
    <cellStyle name="Normal 4 2 4 2 2 3" xfId="1692" xr:uid="{81C24A37-F005-409B-B762-0BD47D4D0572}"/>
    <cellStyle name="Normal 4 2 4 2 2 4" xfId="2110" xr:uid="{8295DD62-B684-4377-9B28-1687EE81E429}"/>
    <cellStyle name="Normal 4 2 4 2 2_HEU_act" xfId="1223" xr:uid="{F3742268-32D1-4882-90B9-14FA54BD510E}"/>
    <cellStyle name="Normal 4 2 4 2 3" xfId="727" xr:uid="{5521CF2E-B208-434D-816E-6DC28A2F0852}"/>
    <cellStyle name="Normal 4 2 4 2 4" xfId="1484" xr:uid="{EE258189-F08F-4FD5-8EA5-867C68B4FD4B}"/>
    <cellStyle name="Normal 4 2 4 2 5" xfId="1902" xr:uid="{DD9C2D86-64F4-4EA8-AE13-87C9D786E022}"/>
    <cellStyle name="Normal 4 2 4 2_HEU_act" xfId="1222" xr:uid="{6AB22D12-0365-4A0A-A484-5FCC471960AC}"/>
    <cellStyle name="Normal 4 2 4 3" xfId="399" xr:uid="{4BF02262-C271-4513-930C-0D25588A04A1}"/>
    <cellStyle name="Normal 4 2 4 3 2" xfId="821" xr:uid="{7DC3B42C-E6EC-4E2B-B3D8-BF024347E1C1}"/>
    <cellStyle name="Normal 4 2 4 3 3" xfId="1578" xr:uid="{BBA44213-5F91-4C9A-87D3-E8F803D3AFAA}"/>
    <cellStyle name="Normal 4 2 4 3 4" xfId="1996" xr:uid="{1AC86292-BB2C-4E47-BB6C-6CF92B3B77BE}"/>
    <cellStyle name="Normal 4 2 4 3_HEU_act" xfId="1224" xr:uid="{D9BBF81E-22B5-479D-B4BA-98C89CE02A7E}"/>
    <cellStyle name="Normal 4 2 4 4" xfId="613" xr:uid="{F4F4D0D7-EB2F-4C43-B5BD-F73979361954}"/>
    <cellStyle name="Normal 4 2 4 5" xfId="1370" xr:uid="{CC14ED62-E1D0-4693-AD36-AB5993DB9AA5}"/>
    <cellStyle name="Normal 4 2 4 6" xfId="1788" xr:uid="{FCC03AFB-C849-4D4C-9CAB-582849D02BED}"/>
    <cellStyle name="Normal 4 2 4_HEU_act" xfId="1221" xr:uid="{DE56169A-270A-4BBF-86FE-55D232FA6A9C}"/>
    <cellStyle name="Normal 4 2 5" xfId="243" xr:uid="{397030C2-6A04-4AA5-A29B-462150A522DE}"/>
    <cellStyle name="Normal 4 2 5 2" xfId="460" xr:uid="{E0BE0104-D069-4ABA-B00C-281F259CB111}"/>
    <cellStyle name="Normal 4 2 5 2 2" xfId="882" xr:uid="{9CD537F4-2C3B-4FAD-B9A3-4F78DC8CC201}"/>
    <cellStyle name="Normal 4 2 5 2 3" xfId="1639" xr:uid="{842E5DD3-0FF2-4060-9F42-9340E8E6426E}"/>
    <cellStyle name="Normal 4 2 5 2 4" xfId="2057" xr:uid="{9D941ABF-7F75-48E2-9D69-080D84308E02}"/>
    <cellStyle name="Normal 4 2 5 2_HEU_act" xfId="1226" xr:uid="{DA9265A3-D467-4A92-B91B-B2D4F6AD3F85}"/>
    <cellStyle name="Normal 4 2 5 3" xfId="674" xr:uid="{1D1F60CF-F05F-4908-8F4A-918A256E195A}"/>
    <cellStyle name="Normal 4 2 5 4" xfId="1431" xr:uid="{4804D6CD-0ECC-4E47-9079-16EBC0F2CE68}"/>
    <cellStyle name="Normal 4 2 5 5" xfId="1849" xr:uid="{6DEEB4F9-CA47-448A-967B-48E56C9F3261}"/>
    <cellStyle name="Normal 4 2 5_HEU_act" xfId="1225" xr:uid="{6B877C6F-29E1-4784-A598-BC96ED9671E0}"/>
    <cellStyle name="Normal 4 2 6" xfId="338" xr:uid="{3ADFA3D8-D177-40C2-9872-5B042525BD09}"/>
    <cellStyle name="Normal 4 2 6 2" xfId="760" xr:uid="{189AF1E6-B0D1-4BEE-9026-AE68DEE41BFB}"/>
    <cellStyle name="Normal 4 2 6 3" xfId="1517" xr:uid="{24973BAA-D717-4356-8D5C-93ABBD4AD280}"/>
    <cellStyle name="Normal 4 2 6 4" xfId="1935" xr:uid="{ADE4F000-ACA7-47B1-8604-82B735CB4456}"/>
    <cellStyle name="Normal 4 2 6_HEU_act" xfId="1227" xr:uid="{7AD45C6F-FDF1-4C1E-8E4E-E1383411D8A5}"/>
    <cellStyle name="Normal 4 2 7" xfId="552" xr:uid="{F3F333F0-7D32-4ADA-AF25-1A006708A189}"/>
    <cellStyle name="Normal 4 2 8" xfId="1309" xr:uid="{228224AA-3F90-479C-9E30-A39194529676}"/>
    <cellStyle name="Normal 4 2 9" xfId="1727" xr:uid="{4EE85156-9407-4633-AD23-52B8F96456F2}"/>
    <cellStyle name="Normal 4 2_HEU_act" xfId="1208" xr:uid="{82D0CC88-52A3-44DC-8BE4-173DC270F074}"/>
    <cellStyle name="Normal 4 3" xfId="86" xr:uid="{355D7B5F-635A-41D6-99CB-4B43FABA2D5D}"/>
    <cellStyle name="Normal 4 3 2" xfId="177" xr:uid="{40C5709B-23CB-4C9E-9502-5120076F050C}"/>
    <cellStyle name="Normal 4 3 2 2" xfId="394" xr:uid="{53C0CA56-91ED-4B55-BDFB-38FD9E27ACC6}"/>
    <cellStyle name="Normal 4 3 2 2 2" xfId="816" xr:uid="{D7AF9C40-B1CF-4BC5-A9FD-3C77CC46DAEC}"/>
    <cellStyle name="Normal 4 3 2 2 3" xfId="1573" xr:uid="{3770E31D-A966-4A71-9CBD-AE481BD554B4}"/>
    <cellStyle name="Normal 4 3 2 2 4" xfId="1991" xr:uid="{B113F06B-3C6E-480F-B48E-9439239640CD}"/>
    <cellStyle name="Normal 4 3 2 2_HEU_act" xfId="1230" xr:uid="{B0653C5D-F930-4925-8F41-1DC971287C61}"/>
    <cellStyle name="Normal 4 3 2 3" xfId="608" xr:uid="{32BE8658-961C-4D66-946B-B16EF11B8DC3}"/>
    <cellStyle name="Normal 4 3 2 4" xfId="1365" xr:uid="{EF122EFD-EC5E-4053-A099-045D4DC6E9DC}"/>
    <cellStyle name="Normal 4 3 2 5" xfId="1783" xr:uid="{F449C127-2AAE-43BD-A502-F7682FB0D7B3}"/>
    <cellStyle name="Normal 4 3 2_HEU_act" xfId="1229" xr:uid="{D8F37FFB-8CEF-450B-B6E8-959CE4A3A7F3}"/>
    <cellStyle name="Normal 4 3 3" xfId="238" xr:uid="{531F8956-6548-4C6D-89BB-9ACF9154D207}"/>
    <cellStyle name="Normal 4 3 3 2" xfId="455" xr:uid="{2FCE4D04-EA69-4CDC-998A-F2B9B635F195}"/>
    <cellStyle name="Normal 4 3 3 2 2" xfId="877" xr:uid="{4CB663D3-5773-4873-B076-0B9C5610987E}"/>
    <cellStyle name="Normal 4 3 3 2 3" xfId="1634" xr:uid="{DF2D890D-FD59-4E66-9387-89B30496C84E}"/>
    <cellStyle name="Normal 4 3 3 2 4" xfId="2052" xr:uid="{E8C9496D-0320-4911-9F0F-F6781D9AF854}"/>
    <cellStyle name="Normal 4 3 3 2_HEU_act" xfId="1232" xr:uid="{DE21EC37-FE99-4607-8F16-1C74B001371F}"/>
    <cellStyle name="Normal 4 3 3 3" xfId="669" xr:uid="{23D44669-C3F8-47B5-9E06-6AC53F48A87D}"/>
    <cellStyle name="Normal 4 3 3 4" xfId="1426" xr:uid="{2A9F8FD9-0D20-4FFB-A73E-E97822AB2192}"/>
    <cellStyle name="Normal 4 3 3 5" xfId="1844" xr:uid="{B33DEEF5-61B1-4192-A7EE-58A7A0DAB598}"/>
    <cellStyle name="Normal 4 3 3_HEU_act" xfId="1231" xr:uid="{FE04D650-8ACB-4FE2-8C97-3E4CF2DE636D}"/>
    <cellStyle name="Normal 4 3 4" xfId="333" xr:uid="{9F79BBF6-C4DA-4963-8A2C-C14A3647EA83}"/>
    <cellStyle name="Normal 4 3 4 2" xfId="755" xr:uid="{899AD67A-80F0-421D-8FA5-DDD080F9CE40}"/>
    <cellStyle name="Normal 4 3 4 3" xfId="1512" xr:uid="{8AAB6CC4-984C-4771-AA32-3E9ECF178539}"/>
    <cellStyle name="Normal 4 3 4 4" xfId="1930" xr:uid="{26623872-93C4-4994-82B3-B0348EE710A4}"/>
    <cellStyle name="Normal 4 3 4_HEU_act" xfId="1233" xr:uid="{419F2BDF-FC51-4889-BDAA-D7A68F8BFF81}"/>
    <cellStyle name="Normal 4 3 5" xfId="547" xr:uid="{CE3CF5B1-9C8C-4AB8-8199-CE645D9C03E7}"/>
    <cellStyle name="Normal 4 3 6" xfId="1304" xr:uid="{57725B45-143D-46BF-9704-059D547AE010}"/>
    <cellStyle name="Normal 4 3 7" xfId="1722" xr:uid="{E2A20AFE-E985-4277-9934-C3F2B0E660FC}"/>
    <cellStyle name="Normal 4 3_HEU_act" xfId="1228" xr:uid="{F585F784-4BDF-4882-A8B7-46D6AF373344}"/>
    <cellStyle name="Normal 4 4" xfId="114" xr:uid="{2223F75F-10F1-4831-858C-97B48E16A84E}"/>
    <cellStyle name="Normal 4 4 2" xfId="191" xr:uid="{FCD605D7-3D38-4630-BA07-3D60462C5A87}"/>
    <cellStyle name="Normal 4 4 2 2" xfId="408" xr:uid="{0FB493DF-E2AC-4BC0-BAE9-0D10DD414819}"/>
    <cellStyle name="Normal 4 4 2 2 2" xfId="830" xr:uid="{03866CB2-7261-4DBF-88A0-7ED717225DC8}"/>
    <cellStyle name="Normal 4 4 2 2 3" xfId="1587" xr:uid="{2EE28786-B724-4003-AD9C-C15B4AE6348A}"/>
    <cellStyle name="Normal 4 4 2 2 4" xfId="2005" xr:uid="{7114E1D3-96A1-4E85-B36C-FB4DC2789F70}"/>
    <cellStyle name="Normal 4 4 2 2_HEU_act" xfId="1236" xr:uid="{08A784EF-F66F-413B-8BB5-84C1B434A17E}"/>
    <cellStyle name="Normal 4 4 2 3" xfId="622" xr:uid="{C4448B08-5A3B-4C33-83EF-475BA4BC8E3E}"/>
    <cellStyle name="Normal 4 4 2 4" xfId="1379" xr:uid="{E2866876-1184-4C0C-89CE-FC57629151BC}"/>
    <cellStyle name="Normal 4 4 2 5" xfId="1797" xr:uid="{AEDF69D0-6D21-4301-A8AD-D4B114F3B625}"/>
    <cellStyle name="Normal 4 4 2_HEU_act" xfId="1235" xr:uid="{BEA46AE3-F47F-4957-8F3A-B0C2295CE844}"/>
    <cellStyle name="Normal 4 4 3" xfId="252" xr:uid="{74038A5B-7AA1-49AB-AFCD-165987C17651}"/>
    <cellStyle name="Normal 4 4 3 2" xfId="469" xr:uid="{D34CB335-0418-4E55-967C-CF9D9FC96321}"/>
    <cellStyle name="Normal 4 4 3 2 2" xfId="891" xr:uid="{D8F73E5D-61BB-4A0C-8283-2C73FFFA26EC}"/>
    <cellStyle name="Normal 4 4 3 2 3" xfId="1648" xr:uid="{E5A66BDC-72E9-4C1F-BD5C-DE5EEB30CDF5}"/>
    <cellStyle name="Normal 4 4 3 2 4" xfId="2066" xr:uid="{E520B89E-2619-408C-AF92-6C42DC2112AE}"/>
    <cellStyle name="Normal 4 4 3 2_HEU_act" xfId="1238" xr:uid="{B8BDCB0E-C2C0-4705-99AA-C1EF99753443}"/>
    <cellStyle name="Normal 4 4 3 3" xfId="683" xr:uid="{55DBF2FE-A0A2-4C22-A580-8D79AC4A344E}"/>
    <cellStyle name="Normal 4 4 3 4" xfId="1440" xr:uid="{DA4CC98B-72CA-4679-B1DF-FAAAC57BEA5C}"/>
    <cellStyle name="Normal 4 4 3 5" xfId="1858" xr:uid="{366F2D4D-5759-4BC1-BDD6-3EE868E04DEC}"/>
    <cellStyle name="Normal 4 4 3_HEU_act" xfId="1237" xr:uid="{D246A55F-27E6-4B6F-87FB-05394135D0E7}"/>
    <cellStyle name="Normal 4 4 4" xfId="347" xr:uid="{2EFFDE4F-C2AF-41B3-A3B8-3D9A6419F75E}"/>
    <cellStyle name="Normal 4 4 4 2" xfId="769" xr:uid="{E33ED6D6-D4DC-4CDC-83C0-46C6E9EE8A12}"/>
    <cellStyle name="Normal 4 4 4 3" xfId="1526" xr:uid="{FDBC8FB8-F6D8-40E2-8DA3-7A60804927B0}"/>
    <cellStyle name="Normal 4 4 4 4" xfId="1944" xr:uid="{89849560-2168-4CFD-B9A4-D6F1CCEBF5FD}"/>
    <cellStyle name="Normal 4 4 4_HEU_act" xfId="1239" xr:uid="{D7A3AE17-DD6C-4146-AA08-A4FA83D8FEB7}"/>
    <cellStyle name="Normal 4 4 5" xfId="561" xr:uid="{083C7A74-5B98-4514-A5EA-55B982109C04}"/>
    <cellStyle name="Normal 4 4 6" xfId="1318" xr:uid="{40E7786F-E717-4E78-9BDF-49F5E29D50EF}"/>
    <cellStyle name="Normal 4 4 7" xfId="1736" xr:uid="{70A5BEF6-E511-43B1-A377-EA9754C40FCF}"/>
    <cellStyle name="Normal 4 4_HEU_act" xfId="1234" xr:uid="{EBCB4503-C1CE-4FB1-A958-D99F83EB0246}"/>
    <cellStyle name="Normal 4 5" xfId="128" xr:uid="{012CA44A-ACA6-45C6-BE94-6C8C50A531AA}"/>
    <cellStyle name="Normal 4 5 2" xfId="205" xr:uid="{BCED1183-0A4F-435D-94F3-7DE2181DBBDF}"/>
    <cellStyle name="Normal 4 5 2 2" xfId="422" xr:uid="{B238B7FA-8F4D-4753-A5B0-720C1CA556A1}"/>
    <cellStyle name="Normal 4 5 2 2 2" xfId="844" xr:uid="{964C361F-2B67-4E1C-A174-318586AF7808}"/>
    <cellStyle name="Normal 4 5 2 2 3" xfId="1601" xr:uid="{8581FD1B-889E-43F9-9A63-BA15200E7D3F}"/>
    <cellStyle name="Normal 4 5 2 2 4" xfId="2019" xr:uid="{6A38EF79-FA1D-49C6-A9B6-366E75961CD9}"/>
    <cellStyle name="Normal 4 5 2 2_HEU_act" xfId="1242" xr:uid="{AA3B8183-F989-4BDC-B678-D91195DC4F71}"/>
    <cellStyle name="Normal 4 5 2 3" xfId="636" xr:uid="{5CAC312D-B87F-42A5-A636-44AA9CB5F334}"/>
    <cellStyle name="Normal 4 5 2 4" xfId="1393" xr:uid="{C900DC14-A7AC-44D6-BCBC-F90F630D1026}"/>
    <cellStyle name="Normal 4 5 2 5" xfId="1811" xr:uid="{2C6BB15B-FB08-4DC2-930E-8017C113F6E5}"/>
    <cellStyle name="Normal 4 5 2_HEU_act" xfId="1241" xr:uid="{E0F24E66-9DEB-4C7F-AD05-3DCD1D652062}"/>
    <cellStyle name="Normal 4 5 3" xfId="266" xr:uid="{22599267-FC9C-4BF4-B30E-25E6B2A61785}"/>
    <cellStyle name="Normal 4 5 3 2" xfId="483" xr:uid="{07875A6A-E807-4828-BCF9-BDB258ABFE23}"/>
    <cellStyle name="Normal 4 5 3 2 2" xfId="905" xr:uid="{B83C0096-285C-4284-BDDA-AD5E842E62CC}"/>
    <cellStyle name="Normal 4 5 3 2 3" xfId="1662" xr:uid="{1C815BA1-9929-489E-AD53-22813A0DFABF}"/>
    <cellStyle name="Normal 4 5 3 2 4" xfId="2080" xr:uid="{3A37D06B-AE4E-4042-AA28-122C89BD921E}"/>
    <cellStyle name="Normal 4 5 3 2_HEU_act" xfId="1244" xr:uid="{C5C35CE9-CBE4-4581-9996-E347AA39666F}"/>
    <cellStyle name="Normal 4 5 3 3" xfId="697" xr:uid="{B349EC67-2073-48CA-90A7-2059FD67A921}"/>
    <cellStyle name="Normal 4 5 3 4" xfId="1454" xr:uid="{129C84A3-EF54-4D8C-994A-53A27A254C0E}"/>
    <cellStyle name="Normal 4 5 3 5" xfId="1872" xr:uid="{8A517F6A-6F51-44E9-9402-73C38A301D59}"/>
    <cellStyle name="Normal 4 5 3_HEU_act" xfId="1243" xr:uid="{9614640B-E243-42F0-A58F-4065DB90B574}"/>
    <cellStyle name="Normal 4 5 4" xfId="361" xr:uid="{8B2B4892-4CE0-4868-8DE0-1675C840DC3E}"/>
    <cellStyle name="Normal 4 5 4 2" xfId="783" xr:uid="{1134A3C9-5DD6-49DC-ABAB-50E36C953A74}"/>
    <cellStyle name="Normal 4 5 4 3" xfId="1540" xr:uid="{693B9820-C09A-45E0-93E3-DCB7A22637A0}"/>
    <cellStyle name="Normal 4 5 4 4" xfId="1958" xr:uid="{E656F177-B7DE-4079-820F-686AA11384A6}"/>
    <cellStyle name="Normal 4 5 4_HEU_act" xfId="1245" xr:uid="{A146C939-4518-49A9-8023-0BD279F6D05C}"/>
    <cellStyle name="Normal 4 5 5" xfId="575" xr:uid="{8B221B17-AA48-47CE-849B-7ACD694F381D}"/>
    <cellStyle name="Normal 4 5 6" xfId="1332" xr:uid="{7EAA9F01-A855-49C0-8B6C-B629EB01D610}"/>
    <cellStyle name="Normal 4 5 7" xfId="1750" xr:uid="{51104F3F-722B-42B9-8EFE-9BACBB6969C3}"/>
    <cellStyle name="Normal 4 5_HEU_act" xfId="1240" xr:uid="{05B08313-8646-4D00-8264-5EF500273EF8}"/>
    <cellStyle name="Normal 4 6" xfId="158" xr:uid="{B5BA8917-6858-4A12-A53E-619C6A927688}"/>
    <cellStyle name="Normal 4 6 2" xfId="296" xr:uid="{B282D623-9879-47D7-85FC-D4949B6C91C6}"/>
    <cellStyle name="Normal 4 6 2 2" xfId="509" xr:uid="{346822D4-CB1D-4776-A1C7-005FD9CBD35F}"/>
    <cellStyle name="Normal 4 6 2 2 2" xfId="931" xr:uid="{DC7FF6E4-1E8A-4B6B-AD92-B104F04B7C77}"/>
    <cellStyle name="Normal 4 6 2 2 3" xfId="1688" xr:uid="{D600F32A-CBD0-41FB-AC93-D74A9FC67FE7}"/>
    <cellStyle name="Normal 4 6 2 2 4" xfId="2106" xr:uid="{9EE957B1-7439-43FA-ABAE-B29C10B9C5FD}"/>
    <cellStyle name="Normal 4 6 2 2_HEU_act" xfId="1248" xr:uid="{8815957C-24C1-42F8-BB15-1DA1F2C23DD7}"/>
    <cellStyle name="Normal 4 6 2 3" xfId="723" xr:uid="{7BA9DC97-628B-476D-86D5-845FAB879113}"/>
    <cellStyle name="Normal 4 6 2 4" xfId="1480" xr:uid="{BD19D493-B034-4924-8C90-555558B63FEF}"/>
    <cellStyle name="Normal 4 6 2 5" xfId="1898" xr:uid="{FA1A9658-ADA3-416F-99E4-CD5B00FF0CB1}"/>
    <cellStyle name="Normal 4 6 2_HEU_act" xfId="1247" xr:uid="{0B52671E-871A-40BE-AB1A-0ABA6E8F3938}"/>
    <cellStyle name="Normal 4 6 3" xfId="375" xr:uid="{90A96C6B-8841-4CB5-8228-A868D3363C8D}"/>
    <cellStyle name="Normal 4 6 3 2" xfId="797" xr:uid="{62759B0B-C839-436D-8ABC-CC5F05EB3D6F}"/>
    <cellStyle name="Normal 4 6 3 3" xfId="1554" xr:uid="{6DCC7F8E-2689-4FF6-AE5E-FB78129A2118}"/>
    <cellStyle name="Normal 4 6 3 4" xfId="1972" xr:uid="{18D61208-651F-4AC6-9D15-8A8E9DA0205F}"/>
    <cellStyle name="Normal 4 6 3_HEU_act" xfId="1249" xr:uid="{FBDF2215-6003-44C9-92D9-7E68DB3C05D5}"/>
    <cellStyle name="Normal 4 6 4" xfId="589" xr:uid="{B82E939A-7057-48D4-9B32-C624CFE13296}"/>
    <cellStyle name="Normal 4 6 5" xfId="1346" xr:uid="{A57C55BE-5B8B-45B4-A72B-0840CE10ECE1}"/>
    <cellStyle name="Normal 4 6 6" xfId="1764" xr:uid="{A5DC47CA-554F-4E9B-A519-F1BD6A8D5132}"/>
    <cellStyle name="Normal 4 6_HEU_act" xfId="1246" xr:uid="{A240C906-AD58-4EDA-858F-3E291B75D16E}"/>
    <cellStyle name="Normal 4 7" xfId="219" xr:uid="{DDC8077A-156E-49C3-ADFE-0EE29F346340}"/>
    <cellStyle name="Normal 4 7 2" xfId="436" xr:uid="{B6CC292B-A0C8-4185-B1BC-8B100163197A}"/>
    <cellStyle name="Normal 4 7 2 2" xfId="858" xr:uid="{73362A3B-85FB-480B-920B-115AB9674EF6}"/>
    <cellStyle name="Normal 4 7 2 3" xfId="1615" xr:uid="{215630EF-6045-460C-B4E0-2BE1F320EB14}"/>
    <cellStyle name="Normal 4 7 2 4" xfId="2033" xr:uid="{8D1AA97E-0642-488D-BA97-CB20BDEA7E81}"/>
    <cellStyle name="Normal 4 7 2_HEU_act" xfId="1251" xr:uid="{6AD8D2ED-CDE3-41B7-92B3-235CE103224F}"/>
    <cellStyle name="Normal 4 7 3" xfId="650" xr:uid="{0620E4FD-54C8-44C2-ADF5-374C1C19BEE6}"/>
    <cellStyle name="Normal 4 7 4" xfId="1407" xr:uid="{5EF8F138-BC68-4D4D-B306-ED0BFDC9E1A5}"/>
    <cellStyle name="Normal 4 7 5" xfId="1825" xr:uid="{0B494B3D-DDDF-41EA-AD2A-B2FD1657224B}"/>
    <cellStyle name="Normal 4 7_HEU_act" xfId="1250" xr:uid="{040CF746-4D8E-4D6C-AB06-F116F2F664A1}"/>
    <cellStyle name="Normal 4 8" xfId="314" xr:uid="{4C1FA1D6-F195-4726-B043-3F4368E1E641}"/>
    <cellStyle name="Normal 4 8 2" xfId="736" xr:uid="{7C66400A-B958-4BCA-A5FA-3CD6A9D2513D}"/>
    <cellStyle name="Normal 4 8 3" xfId="1493" xr:uid="{A585D721-FAEB-41E9-80B1-768269E05077}"/>
    <cellStyle name="Normal 4 8 4" xfId="1911" xr:uid="{E448E2CE-3004-4C6B-939C-D969A67FE328}"/>
    <cellStyle name="Normal 4 8_HEU_act" xfId="1252" xr:uid="{83E79895-2F37-44B6-9208-5ED4BEB534EF}"/>
    <cellStyle name="Normal 4 9" xfId="36" xr:uid="{338DFD9F-C66F-4C6E-8D88-4C49A7E5B59F}"/>
    <cellStyle name="Normal 4_HEU_act" xfId="1207" xr:uid="{0F13C6CC-3EA5-419D-AE5E-BD14467A74BF}"/>
    <cellStyle name="Normál 44" xfId="286" xr:uid="{77A9437B-3720-43DD-906F-0E702AE60703}"/>
    <cellStyle name="Normál 44 2" xfId="502" xr:uid="{99E794D8-5E91-4A2B-9B51-6A966450CFD1}"/>
    <cellStyle name="Normál 44 2 2" xfId="924" xr:uid="{35244381-7120-4A5F-99ED-61E8D9A6D7D5}"/>
    <cellStyle name="Normál 44 2 3" xfId="1681" xr:uid="{41365393-1D16-42E8-ADF8-C47FE712FC55}"/>
    <cellStyle name="Normál 44 2 4" xfId="2099" xr:uid="{45D7EF35-CA66-40A4-B7B4-57F95DD8C573}"/>
    <cellStyle name="Normál 44 2_HEU_act" xfId="1254" xr:uid="{A830C6CE-E09C-467F-BFC6-02F0731C454E}"/>
    <cellStyle name="Normál 44 3" xfId="716" xr:uid="{2A93E89C-F3B2-434B-913B-E385950603C6}"/>
    <cellStyle name="Normál 44 4" xfId="1473" xr:uid="{08BE7D2B-C14A-4915-A4D8-90B0B7E1E218}"/>
    <cellStyle name="Normál 44 5" xfId="1891" xr:uid="{80331C5A-892A-4D04-B2B7-B46260023440}"/>
    <cellStyle name="Normál 44_HEU_act" xfId="1253" xr:uid="{FB308CF9-5294-44F3-A65E-9E8CD1841095}"/>
    <cellStyle name="Normál 45" xfId="288" xr:uid="{F07C6637-ADD3-4A97-85C7-6AA81077543D}"/>
    <cellStyle name="Normál 45 2" xfId="503" xr:uid="{D298A1A9-A113-4A1A-AD8B-FC68ACDB153B}"/>
    <cellStyle name="Normál 45 2 2" xfId="925" xr:uid="{530ADFBB-3A04-4BB8-8E9B-2DAD0F835E61}"/>
    <cellStyle name="Normál 45 2 3" xfId="1682" xr:uid="{5E50AEF3-B1B4-4C76-A382-DA24EAFF990A}"/>
    <cellStyle name="Normál 45 2 4" xfId="2100" xr:uid="{C5174FFC-F88D-47C7-B12F-91A7B4D9F6A0}"/>
    <cellStyle name="Normál 45 2_HEU_act" xfId="1256" xr:uid="{4C8D4162-DCD1-4A85-8E2D-2F3B28FEF31B}"/>
    <cellStyle name="Normál 45 3" xfId="717" xr:uid="{A20A38C0-883F-42CB-91DC-A01A6ADC9678}"/>
    <cellStyle name="Normál 45 4" xfId="1474" xr:uid="{407F9E4A-121A-4E64-876E-88A0EA441EB5}"/>
    <cellStyle name="Normál 45 5" xfId="1892" xr:uid="{111E05D5-3E3F-42FF-AF1D-733ABA835A7D}"/>
    <cellStyle name="Normál 45_HEU_act" xfId="1255" xr:uid="{8AB063F0-97CD-41D9-9569-BAC9EC056846}"/>
    <cellStyle name="Normal 5" xfId="22" xr:uid="{97DB4003-B970-4DC1-B199-CBCDA16338C1}"/>
    <cellStyle name="Normal 5 10" xfId="1306" xr:uid="{AF242860-A1AB-4480-B6DC-2BEC6A636417}"/>
    <cellStyle name="Normal 5 11" xfId="1724" xr:uid="{1FB81FDF-EFBE-48AB-8B23-00E59DC2B98B}"/>
    <cellStyle name="Normal 5 2" xfId="116" xr:uid="{FE815838-3CF1-4ABE-A1E5-5B4BC2A0CFC1}"/>
    <cellStyle name="Normal 5 2 2" xfId="193" xr:uid="{32BB2D06-B247-40BA-A605-B0E7C6645D72}"/>
    <cellStyle name="Normal 5 2 2 2" xfId="410" xr:uid="{D5E0E1FC-EF08-4AEC-BAC0-B0F9FD7888DF}"/>
    <cellStyle name="Normal 5 2 2 2 2" xfId="832" xr:uid="{2ACE6BF4-19E7-4D9B-AABF-3031CE30CE56}"/>
    <cellStyle name="Normal 5 2 2 2 3" xfId="1589" xr:uid="{3FAE8BCE-022B-4F02-930C-33119E29D667}"/>
    <cellStyle name="Normal 5 2 2 2 4" xfId="2007" xr:uid="{1992CACD-6E77-4F11-B4E1-3DFCA5F8AA27}"/>
    <cellStyle name="Normal 5 2 2 2_HEU_act" xfId="1260" xr:uid="{5B56850C-F44F-4748-AE92-4E7DB7C34BF2}"/>
    <cellStyle name="Normal 5 2 2 3" xfId="624" xr:uid="{F906C4F2-17B2-4726-B83C-E4AC247980AD}"/>
    <cellStyle name="Normal 5 2 2 4" xfId="1381" xr:uid="{E189DC16-88B4-4552-BDFB-E12A3138293D}"/>
    <cellStyle name="Normal 5 2 2 5" xfId="1799" xr:uid="{1C21DCEE-3950-495B-B87A-523CA02A72FD}"/>
    <cellStyle name="Normal 5 2 2_HEU_act" xfId="1259" xr:uid="{DC7FE057-DDB3-4C48-86FE-7C3225CFE8BC}"/>
    <cellStyle name="Normal 5 2 3" xfId="254" xr:uid="{9127D57A-A48F-4924-8129-4CC6B5DA852D}"/>
    <cellStyle name="Normal 5 2 3 2" xfId="471" xr:uid="{611419E6-95E2-4FCD-B81E-3BA4FC69F717}"/>
    <cellStyle name="Normal 5 2 3 2 2" xfId="893" xr:uid="{EF822D95-295E-4D77-B149-BE7996CF29C4}"/>
    <cellStyle name="Normal 5 2 3 2 3" xfId="1650" xr:uid="{5A53B41A-C583-4145-BAD1-3C6A5BE8D7F2}"/>
    <cellStyle name="Normal 5 2 3 2 4" xfId="2068" xr:uid="{E3AE7BAA-83B0-458A-B9CA-D391D294C27F}"/>
    <cellStyle name="Normal 5 2 3 2_HEU_act" xfId="1262" xr:uid="{E4959099-59C2-40D4-B409-8A09776217FB}"/>
    <cellStyle name="Normal 5 2 3 3" xfId="685" xr:uid="{A7E393D5-29D5-4784-B3FA-8D0A579923B0}"/>
    <cellStyle name="Normal 5 2 3 4" xfId="1442" xr:uid="{9561C449-F2AC-48FA-A88C-67B7738CEF4C}"/>
    <cellStyle name="Normal 5 2 3 5" xfId="1860" xr:uid="{44E0FED6-6531-4EBB-A33D-4B24E12E1D48}"/>
    <cellStyle name="Normal 5 2 3_HEU_act" xfId="1261" xr:uid="{F486CF39-6BF1-49D5-841D-C037CB2255F3}"/>
    <cellStyle name="Normal 5 2 4" xfId="349" xr:uid="{8E2D2C08-ACB2-4142-B730-29C30D0B3881}"/>
    <cellStyle name="Normal 5 2 4 2" xfId="771" xr:uid="{0A6BE8EC-416C-4115-BAF6-0D7CF49B8903}"/>
    <cellStyle name="Normal 5 2 4 3" xfId="1528" xr:uid="{3DD10A26-3F34-48CA-A8AF-5331C351690F}"/>
    <cellStyle name="Normal 5 2 4 4" xfId="1946" xr:uid="{53D81A2B-41D7-4FE8-BCA0-91E5D316F25E}"/>
    <cellStyle name="Normal 5 2 4_HEU_act" xfId="1263" xr:uid="{CD101DA3-FE89-42DC-8DCD-97665EA402B5}"/>
    <cellStyle name="Normal 5 2 5" xfId="563" xr:uid="{D1DDE57B-6C67-438B-AC5D-3CFA8FC12AB6}"/>
    <cellStyle name="Normal 5 2 6" xfId="1320" xr:uid="{AA697BCC-3768-47B2-A37E-E2FDBF415FF3}"/>
    <cellStyle name="Normal 5 2 7" xfId="1738" xr:uid="{3158038C-17EF-4C25-BB89-F0A72C1777A8}"/>
    <cellStyle name="Normal 5 2_HEU_act" xfId="1258" xr:uid="{AE5B03B9-8EA9-45E2-B64F-0C6819F6F81F}"/>
    <cellStyle name="Normal 5 3" xfId="130" xr:uid="{D39A7F3B-38DF-4A45-A01F-3E43F365523D}"/>
    <cellStyle name="Normal 5 3 2" xfId="207" xr:uid="{1869519E-AA36-46B8-802D-60B4F9F3F7C7}"/>
    <cellStyle name="Normal 5 3 2 2" xfId="424" xr:uid="{CD7DDE1E-1498-4110-81A6-68F6CD963B4B}"/>
    <cellStyle name="Normal 5 3 2 2 2" xfId="846" xr:uid="{6E3E977B-D1BF-4B11-B4DB-F0F363D88188}"/>
    <cellStyle name="Normal 5 3 2 2 3" xfId="1603" xr:uid="{8D5DB3DF-3C67-4366-8F19-A96F212536E4}"/>
    <cellStyle name="Normal 5 3 2 2 4" xfId="2021" xr:uid="{C52582B9-B9E1-4CE0-A2B5-D1E5F666C123}"/>
    <cellStyle name="Normal 5 3 2 2_HEU_act" xfId="1266" xr:uid="{7EBDB2AB-0A18-4EA1-8291-88B3BF8D2B3E}"/>
    <cellStyle name="Normal 5 3 2 3" xfId="638" xr:uid="{0886D822-B1F2-4CBD-9214-19C7E699BD7E}"/>
    <cellStyle name="Normal 5 3 2 4" xfId="1395" xr:uid="{EAE817FC-35CF-4A99-950A-7197BE135A0A}"/>
    <cellStyle name="Normal 5 3 2 5" xfId="1813" xr:uid="{ED7A203E-ED19-46EA-92B2-2F1ACD3F3539}"/>
    <cellStyle name="Normal 5 3 2_HEU_act" xfId="1265" xr:uid="{FB768ECF-53A5-4560-8D70-52FA6F7085D5}"/>
    <cellStyle name="Normal 5 3 3" xfId="268" xr:uid="{109796EB-6F23-4CF3-96BB-E8CE026431CF}"/>
    <cellStyle name="Normal 5 3 3 2" xfId="485" xr:uid="{FF460998-16AD-462B-B843-705F532CD511}"/>
    <cellStyle name="Normal 5 3 3 2 2" xfId="907" xr:uid="{B51B9176-71C0-4EAB-B524-D8B01701AC48}"/>
    <cellStyle name="Normal 5 3 3 2 3" xfId="1664" xr:uid="{4DBD43F0-282B-47F1-A6CA-A82D7B9FA54F}"/>
    <cellStyle name="Normal 5 3 3 2 4" xfId="2082" xr:uid="{B35E774F-8F5C-4C29-A8B9-18F7115292D9}"/>
    <cellStyle name="Normal 5 3 3 2_HEU_act" xfId="1268" xr:uid="{5C7C4C24-2FC7-4BFA-BC5A-F65EE1CECA92}"/>
    <cellStyle name="Normal 5 3 3 3" xfId="699" xr:uid="{835D30D9-2306-454F-BE4C-C6BEC999F68E}"/>
    <cellStyle name="Normal 5 3 3 4" xfId="1456" xr:uid="{C8A1625B-8E12-4569-90C2-E513D5163AC0}"/>
    <cellStyle name="Normal 5 3 3 5" xfId="1874" xr:uid="{2EBB08F4-6152-470B-BCE8-DA68A5D0B2BB}"/>
    <cellStyle name="Normal 5 3 3_HEU_act" xfId="1267" xr:uid="{56A574E0-0A8E-4C15-92D5-C6439281E0A4}"/>
    <cellStyle name="Normal 5 3 4" xfId="363" xr:uid="{136CA35C-F33A-4FBA-8FCB-8D9BA7A37895}"/>
    <cellStyle name="Normal 5 3 4 2" xfId="785" xr:uid="{3E6F29FD-2BB6-408B-9FE2-981BE59934D3}"/>
    <cellStyle name="Normal 5 3 4 3" xfId="1542" xr:uid="{FB77DAA7-7B6F-45DC-8178-B3D593CB85B2}"/>
    <cellStyle name="Normal 5 3 4 4" xfId="1960" xr:uid="{08F82623-F3BA-4176-903D-DF3A12DFE7F6}"/>
    <cellStyle name="Normal 5 3 4_HEU_act" xfId="1269" xr:uid="{E762DC26-B058-4DC4-948B-DCBCC4BBDFCF}"/>
    <cellStyle name="Normal 5 3 5" xfId="577" xr:uid="{DC808D52-F9BC-4232-B02A-6558DECEBC45}"/>
    <cellStyle name="Normal 5 3 6" xfId="1334" xr:uid="{124FC136-679B-4ACD-819A-A84F8A1CF6C4}"/>
    <cellStyle name="Normal 5 3 7" xfId="1752" xr:uid="{E198BDB6-776A-4E26-AADC-C3D1305CD66C}"/>
    <cellStyle name="Normal 5 3_HEU_act" xfId="1264" xr:uid="{5C0E3B64-227C-46A1-A570-A4B9C144A722}"/>
    <cellStyle name="Normal 5 4" xfId="179" xr:uid="{6FC02045-C41D-481B-B193-6489459BAB5C}"/>
    <cellStyle name="Normal 5 4 2" xfId="299" xr:uid="{727C2359-5016-4FDF-887D-4C4AF45A489B}"/>
    <cellStyle name="Normal 5 4 2 2" xfId="511" xr:uid="{A07D3E66-9EF9-472D-B2A9-15B9E6CC6FAE}"/>
    <cellStyle name="Normal 5 4 2 2 2" xfId="933" xr:uid="{A3A22218-8307-41C4-A921-3F68947F54BA}"/>
    <cellStyle name="Normal 5 4 2 2 3" xfId="1690" xr:uid="{CE545D88-A4AF-44E7-A7A8-EA32B2EAC29E}"/>
    <cellStyle name="Normal 5 4 2 2 4" xfId="2108" xr:uid="{20655211-F689-4F75-99FD-A48D0D738554}"/>
    <cellStyle name="Normal 5 4 2 2_HEU_act" xfId="1272" xr:uid="{7F112860-C6E3-4751-9463-D475E786B3A9}"/>
    <cellStyle name="Normal 5 4 2 3" xfId="725" xr:uid="{70B9D291-240A-4226-8C45-F48597EF0F74}"/>
    <cellStyle name="Normal 5 4 2 4" xfId="1482" xr:uid="{62B5B25E-E1AE-42F5-95DA-843436412D16}"/>
    <cellStyle name="Normal 5 4 2 5" xfId="1900" xr:uid="{A234DB1B-FF8C-487F-9618-1E283971EE98}"/>
    <cellStyle name="Normal 5 4 2_HEU_act" xfId="1271" xr:uid="{4542A13B-8CB1-4809-81AC-9B7EE1357DBB}"/>
    <cellStyle name="Normal 5 4 3" xfId="396" xr:uid="{F2D9B0C0-0F92-4C6C-BD9A-5FDEFE531CC0}"/>
    <cellStyle name="Normal 5 4 3 2" xfId="818" xr:uid="{65F75183-B5EC-430B-B4BE-337E594657B3}"/>
    <cellStyle name="Normal 5 4 3 3" xfId="1575" xr:uid="{1E413829-DF4C-41FD-B031-00F2AC6D5EDD}"/>
    <cellStyle name="Normal 5 4 3 4" xfId="1993" xr:uid="{5505B414-BB9A-4080-BD68-5BC0D0DEFDD3}"/>
    <cellStyle name="Normal 5 4 3_HEU_act" xfId="1273" xr:uid="{F7B9E979-1C71-4607-9A79-76067A062818}"/>
    <cellStyle name="Normal 5 4 4" xfId="610" xr:uid="{74682773-94D3-4B47-B4FC-26D994A71A3C}"/>
    <cellStyle name="Normal 5 4 5" xfId="1367" xr:uid="{F7DFF4C0-0C33-46EC-823C-7B938165756B}"/>
    <cellStyle name="Normal 5 4 6" xfId="1785" xr:uid="{E8AA0511-10EE-40C3-991A-4828C22EBC6B}"/>
    <cellStyle name="Normal 5 4_HEU_act" xfId="1270" xr:uid="{36C61608-469B-4208-90F3-9ECFAB116BBA}"/>
    <cellStyle name="Normal 5 5" xfId="240" xr:uid="{2A70F15C-08DB-4580-8240-60256DE9B1EE}"/>
    <cellStyle name="Normal 5 5 2" xfId="457" xr:uid="{FF61D5DB-9D8C-4A59-A198-1EC1987BF717}"/>
    <cellStyle name="Normal 5 5 2 2" xfId="879" xr:uid="{24D2D478-3385-4E0B-BEF4-32C0E58ADECD}"/>
    <cellStyle name="Normal 5 5 2 3" xfId="1636" xr:uid="{BCA6FC92-5690-4A2C-91F0-031046A53A3F}"/>
    <cellStyle name="Normal 5 5 2 4" xfId="2054" xr:uid="{CC1C6EB4-3AA7-4F7A-B992-C4ACE1C1C7B9}"/>
    <cellStyle name="Normal 5 5 2_HEU_act" xfId="1275" xr:uid="{73CF2D39-E145-48DA-975F-B7BAC4FE2D0D}"/>
    <cellStyle name="Normal 5 5 3" xfId="671" xr:uid="{3E94534B-434B-403B-83D6-9DCCBEDC287A}"/>
    <cellStyle name="Normal 5 5 4" xfId="1428" xr:uid="{01344599-CB16-4BF9-9FBF-1C04F7E660F6}"/>
    <cellStyle name="Normal 5 5 5" xfId="1846" xr:uid="{00F97E36-5D57-4864-91EF-2575876953AA}"/>
    <cellStyle name="Normal 5 5_HEU_act" xfId="1274" xr:uid="{1C10FCBA-360B-4CEF-9951-52521F6A1AE5}"/>
    <cellStyle name="Normal 5 6" xfId="335" xr:uid="{3D276284-22AD-4917-BFCE-3220DBD5088F}"/>
    <cellStyle name="Normal 5 6 2" xfId="757" xr:uid="{FF25F298-A7EE-4312-A26A-341114D95436}"/>
    <cellStyle name="Normal 5 6 3" xfId="1514" xr:uid="{7CCA87ED-98E8-4A64-89DB-35524274A9AB}"/>
    <cellStyle name="Normal 5 6 4" xfId="1932" xr:uid="{7F23F10D-C7AC-4D5D-8D98-12E9EDC6DB58}"/>
    <cellStyle name="Normal 5 6_HEU_act" xfId="1276" xr:uid="{4C9E54E6-0F0A-41F2-831F-EA22C6BFA394}"/>
    <cellStyle name="Normal 5 7" xfId="88" xr:uid="{A0A00291-9C09-4888-898D-281C10F53898}"/>
    <cellStyle name="Normal 5 8" xfId="549" xr:uid="{13F95774-DA4B-42C2-9548-883839E4ADC6}"/>
    <cellStyle name="Normal 5 9" xfId="292" xr:uid="{D254AC1C-B97C-48D5-AE56-747FE205116E}"/>
    <cellStyle name="Normal 5_HEU_act" xfId="1257" xr:uid="{8421D530-5370-45AD-978C-1B9B4A0DA635}"/>
    <cellStyle name="Normal 6" xfId="28" xr:uid="{A270EE9A-AC45-4886-B829-B907B9F15CFF}"/>
    <cellStyle name="Normal 6 2" xfId="309" xr:uid="{9E1F7ECE-5C56-4864-B81B-2A57FD20A701}"/>
    <cellStyle name="Normal 6 3" xfId="33" xr:uid="{6700E3B2-AA2F-493E-B06C-EACBD2C2A28E}"/>
    <cellStyle name="Normal 6_HEU_act" xfId="1277" xr:uid="{861BEC6D-2738-43D1-85D9-6D829EE0E8A2}"/>
    <cellStyle name="Normal 7" xfId="279" xr:uid="{9060EBB4-F1F7-43A0-B00E-E4D6524DF813}"/>
    <cellStyle name="Normal 7 10" xfId="2164" xr:uid="{BD34B8B4-3391-4E57-9080-A7FA8ECC91AC}"/>
    <cellStyle name="Normal 7 2" xfId="496" xr:uid="{0C196D47-D1F9-457E-B292-A50FF62141E6}"/>
    <cellStyle name="Normal 7 2 2" xfId="918" xr:uid="{AF6369D7-E68F-4544-8B2F-1E4157735347}"/>
    <cellStyle name="Normal 7 2 3" xfId="1675" xr:uid="{F55048DA-F884-442B-8706-6770F0DB0FB4}"/>
    <cellStyle name="Normal 7 2 4" xfId="2093" xr:uid="{C827356A-E594-41A5-8949-CDE0F2C21BFC}"/>
    <cellStyle name="Normal 7 2_HEU_act" xfId="1279" xr:uid="{FF80FE2C-D6E8-4131-9637-2B0F54ED967F}"/>
    <cellStyle name="Normal 7 3" xfId="710" xr:uid="{481EBCB3-4A2D-4B72-8A7F-950DC4E1EE85}"/>
    <cellStyle name="Normal 7 4" xfId="1467" xr:uid="{C8C619A1-D020-41B6-87B5-B94AA469BFF0}"/>
    <cellStyle name="Normal 7 5" xfId="1885" xr:uid="{59DA4FBD-3FB9-47FE-B62C-23475D7AEB40}"/>
    <cellStyle name="Normal 7 6" xfId="2155" xr:uid="{25F1DBDE-9A84-4F69-8129-4EFE80C2E873}"/>
    <cellStyle name="Normal 7 7" xfId="2161" xr:uid="{5946162B-ADF8-4822-BA7B-E386CCA659B7}"/>
    <cellStyle name="Normal 7 8" xfId="2162" xr:uid="{FDB6DE40-2954-49F0-A0B6-4C693F12FCB6}"/>
    <cellStyle name="Normal 7 9" xfId="2163" xr:uid="{824DEBAA-B3FD-4CB3-9369-4F168B4C5E7B}"/>
    <cellStyle name="Normal 7_HEU_act" xfId="1278" xr:uid="{E7D6045F-95C1-461E-9823-2C40D78CD447}"/>
    <cellStyle name="Normal 8" xfId="311" xr:uid="{383D8D28-C993-40D4-AD5B-824D32441F31}"/>
    <cellStyle name="Normal 9" xfId="943" xr:uid="{69FC7628-168F-488A-94D5-6AEABCDE87AE}"/>
    <cellStyle name="Normal comma" xfId="1875" xr:uid="{58FCD07D-2AD0-42EB-8F4E-1A7251743AE3}"/>
    <cellStyle name="Normální 10" xfId="20" xr:uid="{CA5DAE44-8429-4E9D-9194-1CE1DD45E975}"/>
    <cellStyle name="Normální 10 2" xfId="2143" xr:uid="{507600B6-AC06-40D1-9A4A-D226EABDB10A}"/>
    <cellStyle name="Normální 10 3" xfId="2166" xr:uid="{262201F8-EEEE-4767-98E9-F124467DDD8B}"/>
    <cellStyle name="Normální 106" xfId="2168" xr:uid="{B5723666-4558-4AF1-B6B7-1929E72C857A}"/>
    <cellStyle name="Normální 11" xfId="14" xr:uid="{B1458EE6-956F-442A-8E92-3664BAF853D6}"/>
    <cellStyle name="Normální 12" xfId="4" xr:uid="{3478D866-58C7-4F2D-8217-C9EBE5E1014D}"/>
    <cellStyle name="Normální 2" xfId="17" xr:uid="{D28C761D-46A4-4CE7-88BE-70A94DBFD232}"/>
    <cellStyle name="Normální 2 2" xfId="8" xr:uid="{FCEC79C9-8EBE-495F-92C7-DF225DD327BF}"/>
    <cellStyle name="Normální 2 2 2" xfId="18" xr:uid="{1B2DC9CB-BF79-411C-A4B9-68A5049298C1}"/>
    <cellStyle name="Normální 2 2 2 2" xfId="2128" xr:uid="{F4E0C650-13F3-4EE8-B333-79C675F45AA3}"/>
    <cellStyle name="Normální 2 2 2 3" xfId="2142" xr:uid="{0D8C42F3-E115-42AF-A247-FD06F3B21807}"/>
    <cellStyle name="Normální 2 2 3" xfId="524" xr:uid="{38A76391-17F3-4BD0-BA63-E2AC7C3B08DA}"/>
    <cellStyle name="Normální 2 2 4" xfId="2123" xr:uid="{BC8D36BE-3762-48AA-BEA6-F91962C31349}"/>
    <cellStyle name="Normální 2 2 5" xfId="2137" xr:uid="{EB4A5485-B282-45D9-AE18-37F9CC21F5CD}"/>
    <cellStyle name="Normální 2 3" xfId="80" xr:uid="{78571B82-8B23-492F-B88E-8009242ED058}"/>
    <cellStyle name="Normální 2 3 2" xfId="2149" xr:uid="{246AD69D-E2BA-43CC-82CB-322A902334B6}"/>
    <cellStyle name="Normální 2 4" xfId="523" xr:uid="{F42A9DE0-EB89-4CA4-90F5-709712652348}"/>
    <cellStyle name="Normální 2 5" xfId="526" xr:uid="{39433FF3-2508-4D6C-A84B-EC2F4E1272DE}"/>
    <cellStyle name="Normální 2_HEU_act" xfId="1280" xr:uid="{2795F688-BBCA-4D63-B541-91823BB7CDA7}"/>
    <cellStyle name="Normální 3" xfId="5" xr:uid="{6A209071-B8D4-F847-99C0-70960F62BADE}"/>
    <cellStyle name="Normální 3 10" xfId="2165" xr:uid="{9EAE6390-8CF2-415F-92BD-049D06496861}"/>
    <cellStyle name="normální 3 2" xfId="522" xr:uid="{FFABB4BF-4BCE-4AAD-8EC0-1B53306959E6}"/>
    <cellStyle name="Normální 3 3" xfId="2148" xr:uid="{8733FE01-4583-4D70-B805-F17FC8284A75}"/>
    <cellStyle name="Normální 3 4" xfId="2156" xr:uid="{EA497B03-B889-49CD-9039-A69657886A84}"/>
    <cellStyle name="Normální 3 5" xfId="2157" xr:uid="{7B86A67E-4A89-46CE-8B22-8E5DED415B5B}"/>
    <cellStyle name="Normální 3 6" xfId="2160" xr:uid="{732A556F-D8C4-4E73-9A23-50E772090719}"/>
    <cellStyle name="Normální 3 7" xfId="2159" xr:uid="{30423B44-2954-4A99-AFBA-A885F27022C0}"/>
    <cellStyle name="Normální 3 8" xfId="2147" xr:uid="{33F464EF-3F3C-477E-9CCF-04BE4C9F2F72}"/>
    <cellStyle name="Normální 3 9" xfId="2158" xr:uid="{A679AA03-41C5-4FB2-BA0B-F0ACD643E02C}"/>
    <cellStyle name="Notiz 2" xfId="2134" xr:uid="{82B39C69-11EF-424E-80F4-81C5ADA36CC7}"/>
    <cellStyle name="Number Assumption" xfId="1291" xr:uid="{25CEA2A6-B2BA-4689-A33D-6B9E8EF417E5}"/>
    <cellStyle name="Per cent 2" xfId="2175" xr:uid="{0834E918-648F-9847-A4B3-24F4C0D21068}"/>
    <cellStyle name="Percent" xfId="3" builtinId="5"/>
    <cellStyle name="Percent 2" xfId="11" xr:uid="{62CD5F38-E842-4CB3-823E-3CB8CB3437C5}"/>
    <cellStyle name="Percent 2 2" xfId="38" xr:uid="{0E05ED1C-C76C-4253-8CFC-2ABCF472919B}"/>
    <cellStyle name="Percent 3" xfId="13" xr:uid="{49017CF5-0147-42E6-8783-5277DC5D5441}"/>
    <cellStyle name="Percent 3 10" xfId="37" xr:uid="{3B7A07B8-9AAF-45BC-AB76-24B94009696F}"/>
    <cellStyle name="Percent 3 11" xfId="529" xr:uid="{04FEE0B6-63ED-4FDC-B5DF-ED98DA81D617}"/>
    <cellStyle name="Percent 3 12" xfId="1285" xr:uid="{984CE1A8-0F90-4C69-8C20-1722BA47DD25}"/>
    <cellStyle name="Percent 3 13" xfId="1703" xr:uid="{AE3204D7-032F-4021-B0D5-059524384150}"/>
    <cellStyle name="Percent 3 14" xfId="2125" xr:uid="{20541486-4F6F-43A7-9370-4C497B09902F}"/>
    <cellStyle name="Percent 3 15" xfId="2139" xr:uid="{DDA7B805-B214-4B6F-9C1B-35FD776E07E4}"/>
    <cellStyle name="Percent 3 2" xfId="83" xr:uid="{DF429CBA-02A1-4ECE-9E00-60D44931EFAB}"/>
    <cellStyle name="Percent 3 2 10" xfId="1719" xr:uid="{A1E79731-82ED-4F36-BF6D-A55BFD0110D1}"/>
    <cellStyle name="Percent 3 2 2" xfId="92" xr:uid="{F502100B-A0DD-4250-A8FB-A93412428564}"/>
    <cellStyle name="Percent 3 2 2 2" xfId="183" xr:uid="{7DAA98BE-2EFF-4EDC-B21C-4FF8A03DDE55}"/>
    <cellStyle name="Percent 3 2 2 2 2" xfId="400" xr:uid="{AE147BD6-E1C6-4AC8-9E04-A063970CF515}"/>
    <cellStyle name="Percent 3 2 2 2 2 2" xfId="822" xr:uid="{25EF9BAB-F684-4F53-B15F-CBD9CFB6CE5F}"/>
    <cellStyle name="Percent 3 2 2 2 2 3" xfId="1579" xr:uid="{FECCE593-9593-4844-ABF0-63DD8BE87E5A}"/>
    <cellStyle name="Percent 3 2 2 2 2 4" xfId="1997" xr:uid="{26471841-0256-4BBE-9C10-4BD164CB4C21}"/>
    <cellStyle name="Percent 3 2 2 2 3" xfId="614" xr:uid="{90832ACA-0935-475A-BAA2-54B6419A52E8}"/>
    <cellStyle name="Percent 3 2 2 2 4" xfId="1371" xr:uid="{5F80F358-B360-441A-B596-9222B01360F8}"/>
    <cellStyle name="Percent 3 2 2 2 5" xfId="1789" xr:uid="{ED3A6E24-3B60-48F5-8EF7-9D0DC9E4DA7C}"/>
    <cellStyle name="Percent 3 2 2 3" xfId="244" xr:uid="{0951D996-0AF7-4E32-9ED1-3DD6D30B6CF1}"/>
    <cellStyle name="Percent 3 2 2 3 2" xfId="461" xr:uid="{BBAD3C09-3F30-431B-8FDF-12CBD0C85299}"/>
    <cellStyle name="Percent 3 2 2 3 2 2" xfId="883" xr:uid="{DA160956-EEBB-4AAB-AC5E-D9A73E1D6692}"/>
    <cellStyle name="Percent 3 2 2 3 2 3" xfId="1640" xr:uid="{8B49AA9F-2635-40EE-B3EE-A20E38B8470E}"/>
    <cellStyle name="Percent 3 2 2 3 2 4" xfId="2058" xr:uid="{30A2B208-7ABF-43A7-828F-4507783E4E04}"/>
    <cellStyle name="Percent 3 2 2 3 3" xfId="675" xr:uid="{3896048A-DCF4-4D82-865A-004F4A02FC50}"/>
    <cellStyle name="Percent 3 2 2 3 4" xfId="1432" xr:uid="{0B2C247B-A498-4D1F-9900-582A3EA523DB}"/>
    <cellStyle name="Percent 3 2 2 3 5" xfId="1850" xr:uid="{DA0FF4AA-0B67-4F0A-9182-8153FC1A7142}"/>
    <cellStyle name="Percent 3 2 2 4" xfId="339" xr:uid="{EC64D7B9-5FA3-4E3A-B04D-08220400CF22}"/>
    <cellStyle name="Percent 3 2 2 4 2" xfId="761" xr:uid="{99C5E24B-67CA-4471-9197-5D3BBDE2F6B1}"/>
    <cellStyle name="Percent 3 2 2 4 3" xfId="1518" xr:uid="{FC1A3ABE-115A-446F-9CEF-F2D87781759D}"/>
    <cellStyle name="Percent 3 2 2 4 4" xfId="1936" xr:uid="{EE01E86D-91E9-457D-BA38-E68FEDB6C572}"/>
    <cellStyle name="Percent 3 2 2 5" xfId="553" xr:uid="{3AE11765-0BB3-4908-A69D-A761E310D99F}"/>
    <cellStyle name="Percent 3 2 2 6" xfId="1310" xr:uid="{C2B1F383-4BC0-4467-8035-14E485453DC3}"/>
    <cellStyle name="Percent 3 2 2 7" xfId="1728" xr:uid="{CBF8E5F8-D92B-4916-9014-5AE4EFACC78F}"/>
    <cellStyle name="Percent 3 2 3" xfId="120" xr:uid="{2755902B-044F-40D4-BC90-10BE9E025DEA}"/>
    <cellStyle name="Percent 3 2 3 2" xfId="197" xr:uid="{D2270E8D-3831-498E-81A7-05126ADEE0E3}"/>
    <cellStyle name="Percent 3 2 3 2 2" xfId="414" xr:uid="{685F606B-203F-4C80-B5FF-93083C30C66D}"/>
    <cellStyle name="Percent 3 2 3 2 2 2" xfId="836" xr:uid="{AF74AD4C-71C4-4054-B216-3B563432DA20}"/>
    <cellStyle name="Percent 3 2 3 2 2 3" xfId="1593" xr:uid="{56AC5660-B82A-4370-BD84-FAC6FB737520}"/>
    <cellStyle name="Percent 3 2 3 2 2 4" xfId="2011" xr:uid="{4B3E7D64-46C6-4BA2-AE5F-7B76D7A9D21C}"/>
    <cellStyle name="Percent 3 2 3 2 3" xfId="628" xr:uid="{F7A947D7-A101-42B2-BB7A-821273F2648B}"/>
    <cellStyle name="Percent 3 2 3 2 4" xfId="1385" xr:uid="{CDE5E4D8-59AE-4DA2-B713-B1E77536828F}"/>
    <cellStyle name="Percent 3 2 3 2 5" xfId="1803" xr:uid="{70E250BC-2134-486E-8605-F9A61715104E}"/>
    <cellStyle name="Percent 3 2 3 3" xfId="258" xr:uid="{76524B5B-6F1E-4CEF-BE46-4B9F323C6429}"/>
    <cellStyle name="Percent 3 2 3 3 2" xfId="475" xr:uid="{48212C9A-3F0A-4555-BBF8-5DEAF07571EA}"/>
    <cellStyle name="Percent 3 2 3 3 2 2" xfId="897" xr:uid="{5D1950DD-D1AE-43CA-AB16-ABA87CAED20E}"/>
    <cellStyle name="Percent 3 2 3 3 2 3" xfId="1654" xr:uid="{2DEB42A7-1EA2-41F8-9BB8-A2ACA0EEAB5F}"/>
    <cellStyle name="Percent 3 2 3 3 2 4" xfId="2072" xr:uid="{EB5CF974-32CD-44D1-9C35-F4ED15561D21}"/>
    <cellStyle name="Percent 3 2 3 3 3" xfId="689" xr:uid="{F6B3BA45-6B83-4D2B-A7DC-F8CF7D05AC9E}"/>
    <cellStyle name="Percent 3 2 3 3 4" xfId="1446" xr:uid="{B6EFDC20-9C83-46AB-9DDA-8AE3F2C91DE1}"/>
    <cellStyle name="Percent 3 2 3 3 5" xfId="1864" xr:uid="{91701BA7-8AE4-4CDB-A6C4-31324054D343}"/>
    <cellStyle name="Percent 3 2 3 4" xfId="353" xr:uid="{E2C655CC-6BCC-4656-8649-DC64D50B7878}"/>
    <cellStyle name="Percent 3 2 3 4 2" xfId="775" xr:uid="{7A2839A8-0A03-44BA-96EA-3696D3D5A5B5}"/>
    <cellStyle name="Percent 3 2 3 4 3" xfId="1532" xr:uid="{4D9717D4-A54F-4CE5-A946-CF0D10869F06}"/>
    <cellStyle name="Percent 3 2 3 4 4" xfId="1950" xr:uid="{363EE410-1AD5-492B-AFFA-6D6FC0074A80}"/>
    <cellStyle name="Percent 3 2 3 5" xfId="567" xr:uid="{6DFA98DF-006E-4617-8F6D-006569C53DCD}"/>
    <cellStyle name="Percent 3 2 3 6" xfId="1324" xr:uid="{2187DB42-6679-4F57-B99F-2558D0A2FD00}"/>
    <cellStyle name="Percent 3 2 3 7" xfId="1742" xr:uid="{B5A8562C-0DDD-4552-81DB-1C5A990CAEB2}"/>
    <cellStyle name="Percent 3 2 4" xfId="134" xr:uid="{8BA63A00-E615-4904-BC22-AD59B533E71B}"/>
    <cellStyle name="Percent 3 2 4 2" xfId="211" xr:uid="{F9F6A374-C85A-4FD5-99F9-1367E780BD2D}"/>
    <cellStyle name="Percent 3 2 4 2 2" xfId="428" xr:uid="{66532276-C015-47A8-A10D-1F54F2F2B9CD}"/>
    <cellStyle name="Percent 3 2 4 2 2 2" xfId="850" xr:uid="{ED470B69-FD99-4D40-BC07-91AFFB671DAF}"/>
    <cellStyle name="Percent 3 2 4 2 2 3" xfId="1607" xr:uid="{F0B619F0-3C7D-4274-B033-5A2143154311}"/>
    <cellStyle name="Percent 3 2 4 2 2 4" xfId="2025" xr:uid="{65D92DF3-1C8E-4917-BBDA-6B5335EF69C4}"/>
    <cellStyle name="Percent 3 2 4 2 3" xfId="642" xr:uid="{EC3A4C82-2CCD-4230-9B5E-8F4439E3F57B}"/>
    <cellStyle name="Percent 3 2 4 2 4" xfId="1399" xr:uid="{FEE6AE38-D30C-4B11-B1F3-85B51478E540}"/>
    <cellStyle name="Percent 3 2 4 2 5" xfId="1817" xr:uid="{1A897E74-F2E4-4DF7-A6FD-80B2EEEA732A}"/>
    <cellStyle name="Percent 3 2 4 3" xfId="272" xr:uid="{CD82C454-D064-402C-9B19-B8CC8D894C91}"/>
    <cellStyle name="Percent 3 2 4 3 2" xfId="489" xr:uid="{038D17D9-1B12-4B9A-B731-7ADF200F4270}"/>
    <cellStyle name="Percent 3 2 4 3 2 2" xfId="911" xr:uid="{00B97CA5-F78C-4015-80EB-39AFA39C3DBA}"/>
    <cellStyle name="Percent 3 2 4 3 2 3" xfId="1668" xr:uid="{9F519E8E-ADA9-4A8B-9E1A-819B2ADCA296}"/>
    <cellStyle name="Percent 3 2 4 3 2 4" xfId="2086" xr:uid="{308F23ED-FF87-4409-A981-857DA0F9853B}"/>
    <cellStyle name="Percent 3 2 4 3 3" xfId="703" xr:uid="{8C248899-B7DA-4226-8088-AD6348C0712D}"/>
    <cellStyle name="Percent 3 2 4 3 4" xfId="1460" xr:uid="{648165F6-D77B-4508-AE7A-FFA7BE4958D0}"/>
    <cellStyle name="Percent 3 2 4 3 5" xfId="1878" xr:uid="{ECBA7F1E-86EB-48E9-9515-CBE11C8CA645}"/>
    <cellStyle name="Percent 3 2 4 4" xfId="367" xr:uid="{87BFFACE-6556-4A35-9EDF-2A489659250E}"/>
    <cellStyle name="Percent 3 2 4 4 2" xfId="789" xr:uid="{9ED398D2-DD29-4669-8C32-F038B649D5B8}"/>
    <cellStyle name="Percent 3 2 4 4 3" xfId="1546" xr:uid="{AD5FFCD3-3C12-4FFA-9C6B-4A874C74D5E0}"/>
    <cellStyle name="Percent 3 2 4 4 4" xfId="1964" xr:uid="{58640AA7-0486-43B4-9E47-B509AC7158C7}"/>
    <cellStyle name="Percent 3 2 4 5" xfId="581" xr:uid="{E2D14FD5-DCAA-477B-AB69-004555F41049}"/>
    <cellStyle name="Percent 3 2 4 6" xfId="1338" xr:uid="{39EBEB72-A40C-4E40-A0DC-8C280B0AFA6B}"/>
    <cellStyle name="Percent 3 2 4 7" xfId="1756" xr:uid="{9F059360-042D-46EA-8A9E-A6CD42C4D8E0}"/>
    <cellStyle name="Percent 3 2 5" xfId="174" xr:uid="{DE47874C-ADD0-4267-AFAC-BC88020FF036}"/>
    <cellStyle name="Percent 3 2 5 2" xfId="302" xr:uid="{70E57A1B-53F6-451B-932B-47A31812D8EB}"/>
    <cellStyle name="Percent 3 2 5 2 2" xfId="514" xr:uid="{515CB492-A6E6-4497-8521-E507183E5113}"/>
    <cellStyle name="Percent 3 2 5 2 2 2" xfId="936" xr:uid="{6BA7FD46-7107-4C52-9CF1-BAD7C14E33A1}"/>
    <cellStyle name="Percent 3 2 5 2 2 3" xfId="1693" xr:uid="{3AC66A0E-3323-4132-8521-05133778D7FD}"/>
    <cellStyle name="Percent 3 2 5 2 2 4" xfId="2111" xr:uid="{69B4DDE1-3C14-4FA8-B853-578D54B2DD9B}"/>
    <cellStyle name="Percent 3 2 5 2 3" xfId="728" xr:uid="{0CAC48C1-C6B1-4FFA-BAAE-32E6BEF44BF4}"/>
    <cellStyle name="Percent 3 2 5 2 4" xfId="1485" xr:uid="{C4E111B9-5A76-40A7-A163-04BE6AF784FE}"/>
    <cellStyle name="Percent 3 2 5 2 5" xfId="1903" xr:uid="{29B88106-4331-4300-A227-6E2E53271E60}"/>
    <cellStyle name="Percent 3 2 5 3" xfId="391" xr:uid="{AC3EA3B9-C8BF-44DB-BCBC-1784C0DDC159}"/>
    <cellStyle name="Percent 3 2 5 3 2" xfId="813" xr:uid="{96285FA9-2C66-4C3B-9B28-C7065E6CD828}"/>
    <cellStyle name="Percent 3 2 5 3 3" xfId="1570" xr:uid="{86300E4C-742A-42EB-9944-420F10609704}"/>
    <cellStyle name="Percent 3 2 5 3 4" xfId="1988" xr:uid="{D9463EF0-3509-4B14-889F-646508C04289}"/>
    <cellStyle name="Percent 3 2 5 4" xfId="605" xr:uid="{FDFAA962-0EA4-4B23-8C3A-833FC0485A78}"/>
    <cellStyle name="Percent 3 2 5 5" xfId="1362" xr:uid="{53B2F1AE-D267-4209-889E-4F7CC38F376F}"/>
    <cellStyle name="Percent 3 2 5 6" xfId="1780" xr:uid="{55D38857-2C6B-405E-A08D-66BD90861B31}"/>
    <cellStyle name="Percent 3 2 6" xfId="235" xr:uid="{09C969A4-D112-4294-965F-DD2E2F2A332A}"/>
    <cellStyle name="Percent 3 2 6 2" xfId="452" xr:uid="{991B5DF4-18A8-4264-9FEE-DF885EFE17EB}"/>
    <cellStyle name="Percent 3 2 6 2 2" xfId="874" xr:uid="{9E4A62FA-7716-4AFE-BB1C-06F9C5C69DAB}"/>
    <cellStyle name="Percent 3 2 6 2 3" xfId="1631" xr:uid="{FBDD09EA-DFB1-4268-BF73-7D0634E6DD81}"/>
    <cellStyle name="Percent 3 2 6 2 4" xfId="2049" xr:uid="{9CE7D754-1753-4EBD-A2E1-B1F0552F98AF}"/>
    <cellStyle name="Percent 3 2 6 3" xfId="666" xr:uid="{87579A2A-95A2-49FB-8A35-FD0998A74A4A}"/>
    <cellStyle name="Percent 3 2 6 4" xfId="1423" xr:uid="{C1F55455-6321-4B03-A25C-A8E043F3E814}"/>
    <cellStyle name="Percent 3 2 6 5" xfId="1841" xr:uid="{0DA612D6-07B3-4D13-AA8E-87CEBD5E149A}"/>
    <cellStyle name="Percent 3 2 7" xfId="330" xr:uid="{F2FEC8E3-A274-4272-925F-D1B96E65D896}"/>
    <cellStyle name="Percent 3 2 7 2" xfId="752" xr:uid="{1915096E-E08F-47C0-BC61-75E928433008}"/>
    <cellStyle name="Percent 3 2 7 3" xfId="1509" xr:uid="{B1A64825-3760-42D9-86DB-973778C3D704}"/>
    <cellStyle name="Percent 3 2 7 4" xfId="1927" xr:uid="{7506CDF6-1089-4A46-B0CE-00D39695519F}"/>
    <cellStyle name="Percent 3 2 8" xfId="544" xr:uid="{FE4F0DC1-0D6A-4005-A743-6B26EFDC6CAC}"/>
    <cellStyle name="Percent 3 2 9" xfId="1301" xr:uid="{B17F0AAE-D952-474D-A58B-B9E5D53D5DD9}"/>
    <cellStyle name="Percent 3 3" xfId="95" xr:uid="{D0C86632-845D-4ACF-B52A-C7800AD9C392}"/>
    <cellStyle name="Percent 3 3 2" xfId="122" xr:uid="{F0CF2A6B-B25A-4BA6-984F-048644E9EAFC}"/>
    <cellStyle name="Percent 3 3 2 2" xfId="199" xr:uid="{24F4B7A9-2D2B-4B9D-80A5-51BEEFF28C89}"/>
    <cellStyle name="Percent 3 3 2 2 2" xfId="416" xr:uid="{EB7375AD-44E4-45C2-AEAC-7B8C822D5497}"/>
    <cellStyle name="Percent 3 3 2 2 2 2" xfId="838" xr:uid="{A1492091-4E91-46E0-A2A5-116509406867}"/>
    <cellStyle name="Percent 3 3 2 2 2 3" xfId="1595" xr:uid="{222B4F19-4093-4AF3-8393-5F57FC643DA6}"/>
    <cellStyle name="Percent 3 3 2 2 2 4" xfId="2013" xr:uid="{3AD3DD81-8125-4B07-A98B-9ACAE7F6011F}"/>
    <cellStyle name="Percent 3 3 2 2 3" xfId="630" xr:uid="{BAAB3442-368B-44CA-A4BD-6EA4F9199BF4}"/>
    <cellStyle name="Percent 3 3 2 2 4" xfId="1387" xr:uid="{EBBA3809-49C4-439B-881A-CA06F108DC7D}"/>
    <cellStyle name="Percent 3 3 2 2 5" xfId="1805" xr:uid="{0B569B8D-F899-4456-B3A1-87496FE096BD}"/>
    <cellStyle name="Percent 3 3 2 3" xfId="260" xr:uid="{292D2A4D-7895-4D25-9D53-7D6566E4B83C}"/>
    <cellStyle name="Percent 3 3 2 3 2" xfId="477" xr:uid="{11EF9A1E-6103-4885-8220-AD08EA4F6D11}"/>
    <cellStyle name="Percent 3 3 2 3 2 2" xfId="899" xr:uid="{349D3B83-1B45-42CC-9A9D-B0547406248B}"/>
    <cellStyle name="Percent 3 3 2 3 2 3" xfId="1656" xr:uid="{AF3DEFEF-22FA-4022-BA9D-7CCF053F1DA3}"/>
    <cellStyle name="Percent 3 3 2 3 2 4" xfId="2074" xr:uid="{9973CF30-1EF8-418C-936C-177C5C15866E}"/>
    <cellStyle name="Percent 3 3 2 3 3" xfId="691" xr:uid="{C0D281EB-586A-470E-8AB2-0AF7D8EC707A}"/>
    <cellStyle name="Percent 3 3 2 3 4" xfId="1448" xr:uid="{FC2D93AF-0A50-4049-B0F4-F1A75CE0091F}"/>
    <cellStyle name="Percent 3 3 2 3 5" xfId="1866" xr:uid="{5E75DEAD-48B2-4F91-BECD-75CCCA49B6EA}"/>
    <cellStyle name="Percent 3 3 2 4" xfId="355" xr:uid="{D34FCB00-D76B-4972-A382-4F8C149880B4}"/>
    <cellStyle name="Percent 3 3 2 4 2" xfId="777" xr:uid="{881BBFD8-5188-448A-9889-9D1358E3E2F4}"/>
    <cellStyle name="Percent 3 3 2 4 3" xfId="1534" xr:uid="{5ECA937B-4986-4C79-8B1E-9B0400357E4B}"/>
    <cellStyle name="Percent 3 3 2 4 4" xfId="1952" xr:uid="{7034E864-AA4B-4F39-851D-4E94D43A0208}"/>
    <cellStyle name="Percent 3 3 2 5" xfId="569" xr:uid="{79C89876-F9CE-4AEE-9E3C-BD12AE0018DF}"/>
    <cellStyle name="Percent 3 3 2 6" xfId="1326" xr:uid="{6E80F32D-0924-4190-9F10-FFE6279E4745}"/>
    <cellStyle name="Percent 3 3 2 7" xfId="1744" xr:uid="{4F30886F-746C-47C3-B33C-55B18745EAC6}"/>
    <cellStyle name="Percent 3 3 3" xfId="136" xr:uid="{2ADA0567-10AD-4A5C-8563-B69AF7A63DE7}"/>
    <cellStyle name="Percent 3 3 3 2" xfId="213" xr:uid="{4801D998-C52D-42EB-A557-9D0DF1FEA62C}"/>
    <cellStyle name="Percent 3 3 3 2 2" xfId="430" xr:uid="{C30B6926-106B-4BD1-B859-6F91B48B6639}"/>
    <cellStyle name="Percent 3 3 3 2 2 2" xfId="852" xr:uid="{5246B511-0838-4E5F-A50C-4B4BBEB43E13}"/>
    <cellStyle name="Percent 3 3 3 2 2 3" xfId="1609" xr:uid="{8CBCE5CF-282C-4A04-97D1-FD8246F7821C}"/>
    <cellStyle name="Percent 3 3 3 2 2 4" xfId="2027" xr:uid="{90213FD3-2F19-4098-95C6-1DA30D8435CE}"/>
    <cellStyle name="Percent 3 3 3 2 3" xfId="644" xr:uid="{83E326CA-D703-4809-B37A-B70D20B2C70F}"/>
    <cellStyle name="Percent 3 3 3 2 4" xfId="1401" xr:uid="{8D1148DC-C255-4D0D-839B-4CBB775CA240}"/>
    <cellStyle name="Percent 3 3 3 2 5" xfId="1819" xr:uid="{7B72D027-C4F5-4658-9781-6611B313C737}"/>
    <cellStyle name="Percent 3 3 3 3" xfId="274" xr:uid="{2B76ACF5-B141-4C1F-995F-938AD18DF2BE}"/>
    <cellStyle name="Percent 3 3 3 3 2" xfId="491" xr:uid="{3A32F0DF-498B-4200-99ED-8CB3C1AE65DA}"/>
    <cellStyle name="Percent 3 3 3 3 2 2" xfId="913" xr:uid="{DEF5925C-FD9F-4897-9B2B-2C1A78723293}"/>
    <cellStyle name="Percent 3 3 3 3 2 3" xfId="1670" xr:uid="{D738203C-544A-4C2C-AC1F-B0884FE2C46E}"/>
    <cellStyle name="Percent 3 3 3 3 2 4" xfId="2088" xr:uid="{A96FEF9E-358B-4226-A3E3-FCF355E0682B}"/>
    <cellStyle name="Percent 3 3 3 3 3" xfId="705" xr:uid="{FD422CE5-7B6C-4391-B810-1184C7EBCC79}"/>
    <cellStyle name="Percent 3 3 3 3 4" xfId="1462" xr:uid="{535FBFAA-9F3D-4A68-90B4-4104E36B7242}"/>
    <cellStyle name="Percent 3 3 3 3 5" xfId="1880" xr:uid="{A0B3523E-B4A4-4BA7-B0C0-98241C96E9EC}"/>
    <cellStyle name="Percent 3 3 3 4" xfId="369" xr:uid="{12808679-6C0D-439A-98AA-0DE57E94B85A}"/>
    <cellStyle name="Percent 3 3 3 4 2" xfId="791" xr:uid="{A9281C03-1A0F-4E75-BB06-18472CFDB723}"/>
    <cellStyle name="Percent 3 3 3 4 3" xfId="1548" xr:uid="{33C7629D-13D0-49A4-8EF3-8F42A194119E}"/>
    <cellStyle name="Percent 3 3 3 4 4" xfId="1966" xr:uid="{3A2EC089-CBBA-4F65-8039-B5C72FEE6F3E}"/>
    <cellStyle name="Percent 3 3 3 5" xfId="583" xr:uid="{74A797C9-F386-458E-996C-0496DB850628}"/>
    <cellStyle name="Percent 3 3 3 6" xfId="1340" xr:uid="{21645D47-DB2F-441C-B57E-A6A1A8511357}"/>
    <cellStyle name="Percent 3 3 3 7" xfId="1758" xr:uid="{ECD23A9E-C18A-4C24-9713-45A5DD2CF23E}"/>
    <cellStyle name="Percent 3 3 4" xfId="185" xr:uid="{978B783A-F0AF-4B38-8B58-9FCA67B6332B}"/>
    <cellStyle name="Percent 3 3 4 2" xfId="304" xr:uid="{8527F110-6FB5-40F1-8E30-F2A6186C7DCE}"/>
    <cellStyle name="Percent 3 3 4 2 2" xfId="516" xr:uid="{6F14CF56-D130-4004-8A8E-7A60F8C7F297}"/>
    <cellStyle name="Percent 3 3 4 2 2 2" xfId="938" xr:uid="{2675B41E-B71D-4A09-AD6B-8D781C4A9385}"/>
    <cellStyle name="Percent 3 3 4 2 2 3" xfId="1695" xr:uid="{D6FD9C56-85B4-4D4F-B5DF-125C5DFB289A}"/>
    <cellStyle name="Percent 3 3 4 2 2 4" xfId="2113" xr:uid="{FAE9606C-C94C-40B3-9C32-C99F855DD470}"/>
    <cellStyle name="Percent 3 3 4 2 3" xfId="730" xr:uid="{71E4B6B4-9F8B-403F-AB9D-7C34D8C9A1D5}"/>
    <cellStyle name="Percent 3 3 4 2 4" xfId="1487" xr:uid="{78713CAD-4AA6-425F-AEBD-A5AB8ACE196D}"/>
    <cellStyle name="Percent 3 3 4 2 5" xfId="1905" xr:uid="{A21BE8A8-D36A-42D4-A0D1-C9E116FAF847}"/>
    <cellStyle name="Percent 3 3 4 3" xfId="402" xr:uid="{E11BBCDA-029E-4F4A-9BAE-D9A44B8CE684}"/>
    <cellStyle name="Percent 3 3 4 3 2" xfId="824" xr:uid="{58714436-9522-4A93-AA7A-62DB9BCF61A4}"/>
    <cellStyle name="Percent 3 3 4 3 3" xfId="1581" xr:uid="{1AD5930D-EA7E-4F42-BD93-A18DEA22BCBD}"/>
    <cellStyle name="Percent 3 3 4 3 4" xfId="1999" xr:uid="{85A098C8-15A5-4D37-9D6E-2637D9812B86}"/>
    <cellStyle name="Percent 3 3 4 4" xfId="616" xr:uid="{E5246B91-BE4B-4269-B35F-92A8B54FE8D5}"/>
    <cellStyle name="Percent 3 3 4 5" xfId="1373" xr:uid="{7D4A3204-7F72-4162-9A8E-B1EEEF68229D}"/>
    <cellStyle name="Percent 3 3 4 6" xfId="1791" xr:uid="{673208DB-3BDE-4AAB-AE3A-2E52FDA24C56}"/>
    <cellStyle name="Percent 3 3 5" xfId="246" xr:uid="{36B533F4-2117-4966-8195-71A9C947049A}"/>
    <cellStyle name="Percent 3 3 5 2" xfId="463" xr:uid="{531FF9A2-6E85-4E1D-8694-9DB3CA4D5B36}"/>
    <cellStyle name="Percent 3 3 5 2 2" xfId="885" xr:uid="{A059628F-2B26-4731-9092-BEFE2E6708C7}"/>
    <cellStyle name="Percent 3 3 5 2 3" xfId="1642" xr:uid="{47B328DE-2F74-4078-B76A-C34D17D248F4}"/>
    <cellStyle name="Percent 3 3 5 2 4" xfId="2060" xr:uid="{22334E3C-1B98-4D64-93AD-DC2062481ECC}"/>
    <cellStyle name="Percent 3 3 5 3" xfId="677" xr:uid="{FB4BBD48-13AA-475F-A2AE-915096EC9862}"/>
    <cellStyle name="Percent 3 3 5 4" xfId="1434" xr:uid="{1A082E6B-1F98-453F-ACFE-49F55867EE5C}"/>
    <cellStyle name="Percent 3 3 5 5" xfId="1852" xr:uid="{C5D4420A-94FD-4E08-94B0-FD69773F6A51}"/>
    <cellStyle name="Percent 3 3 6" xfId="341" xr:uid="{EBA384D4-2D8E-42EF-B922-7899A6052454}"/>
    <cellStyle name="Percent 3 3 6 2" xfId="763" xr:uid="{80182F85-BD04-4D9B-B206-A16B66E6EA3E}"/>
    <cellStyle name="Percent 3 3 6 3" xfId="1520" xr:uid="{53E9D9F5-6C8D-4F7E-89AB-C639ADB12F9C}"/>
    <cellStyle name="Percent 3 3 6 4" xfId="1938" xr:uid="{340C9FD5-9D2F-48B9-BF8E-7C9D6235DAA8}"/>
    <cellStyle name="Percent 3 3 7" xfId="555" xr:uid="{D073D666-733B-46A0-A632-7ECFFD7E36F0}"/>
    <cellStyle name="Percent 3 3 8" xfId="1312" xr:uid="{54E046FD-9037-41CD-AAB2-9451A283314F}"/>
    <cellStyle name="Percent 3 3 9" xfId="1730" xr:uid="{C60C84F2-ADD0-4A7C-88D7-688DC45E045F}"/>
    <cellStyle name="Percent 3 4" xfId="87" xr:uid="{0C83F465-8716-45D9-9643-9F666E8B2B67}"/>
    <cellStyle name="Percent 3 4 2" xfId="178" xr:uid="{F7DC6CD0-7A3F-45EC-985C-6AB2DFA2471B}"/>
    <cellStyle name="Percent 3 4 2 2" xfId="395" xr:uid="{935902C4-2192-4F97-9341-990C2B160B2D}"/>
    <cellStyle name="Percent 3 4 2 2 2" xfId="817" xr:uid="{0127DE34-E556-4B1E-94CA-63711423F092}"/>
    <cellStyle name="Percent 3 4 2 2 3" xfId="1574" xr:uid="{9175A576-0E75-4E85-99B0-5536FC461E6E}"/>
    <cellStyle name="Percent 3 4 2 2 4" xfId="1992" xr:uid="{64E31F2C-BD8B-4128-AEE7-1574BFE216DA}"/>
    <cellStyle name="Percent 3 4 2 3" xfId="609" xr:uid="{6CCF75DE-E25D-4134-B26F-0960160F36C1}"/>
    <cellStyle name="Percent 3 4 2 4" xfId="1366" xr:uid="{3C24953E-A852-4F9A-AC77-4D84944676C4}"/>
    <cellStyle name="Percent 3 4 2 5" xfId="1784" xr:uid="{0968AEBD-9299-40D8-90D1-F76298ADC3C1}"/>
    <cellStyle name="Percent 3 4 3" xfId="239" xr:uid="{60CEBB97-9C19-4E72-B87F-134BE54DB0E7}"/>
    <cellStyle name="Percent 3 4 3 2" xfId="456" xr:uid="{A0DBAF80-CB00-4E51-9E67-0427F7E3C972}"/>
    <cellStyle name="Percent 3 4 3 2 2" xfId="878" xr:uid="{C0FA1177-1A19-4E60-B8B0-E8021D6C75D4}"/>
    <cellStyle name="Percent 3 4 3 2 3" xfId="1635" xr:uid="{75C67F54-FFFD-4F5F-AE16-965BFD80150E}"/>
    <cellStyle name="Percent 3 4 3 2 4" xfId="2053" xr:uid="{F1D0A134-6C04-4899-9D86-B59C99297B84}"/>
    <cellStyle name="Percent 3 4 3 3" xfId="670" xr:uid="{4A7648EA-E776-43FA-BEE2-CC0210412169}"/>
    <cellStyle name="Percent 3 4 3 4" xfId="1427" xr:uid="{49D0E881-B4CE-4F4D-8D91-230BBFB5B8B4}"/>
    <cellStyle name="Percent 3 4 3 5" xfId="1845" xr:uid="{B852D1D8-33E6-4C32-9F6B-901E1E93AF39}"/>
    <cellStyle name="Percent 3 4 4" xfId="334" xr:uid="{30C37FB1-E4D7-4105-8E22-2E860E693DC3}"/>
    <cellStyle name="Percent 3 4 4 2" xfId="756" xr:uid="{D71C79D8-0E92-4856-9599-640BB3E6FA4E}"/>
    <cellStyle name="Percent 3 4 4 3" xfId="1513" xr:uid="{52705D18-E3D1-4C7E-BC47-D0E2F37A7C2D}"/>
    <cellStyle name="Percent 3 4 4 4" xfId="1931" xr:uid="{2E222025-6136-47D6-B92D-16E672743B51}"/>
    <cellStyle name="Percent 3 4 5" xfId="548" xr:uid="{C63A7B3A-741B-424C-8120-03FBA6575D9D}"/>
    <cellStyle name="Percent 3 4 6" xfId="1305" xr:uid="{7B844357-8293-4998-B2E6-CFDD57AC37E2}"/>
    <cellStyle name="Percent 3 4 7" xfId="1723" xr:uid="{4FD73397-A0E9-4D5C-91CC-225D6D9537D9}"/>
    <cellStyle name="Percent 3 5" xfId="115" xr:uid="{7830FD79-9BDB-4C9F-AD6E-F40898F7D3FA}"/>
    <cellStyle name="Percent 3 5 2" xfId="192" xr:uid="{9E186E8E-8138-4CD0-A7AA-83DFC73487D4}"/>
    <cellStyle name="Percent 3 5 2 2" xfId="409" xr:uid="{D3884E60-D0CA-4503-8B04-92E28378A7DA}"/>
    <cellStyle name="Percent 3 5 2 2 2" xfId="831" xr:uid="{7A710B67-F680-4728-8649-5FF4148809B1}"/>
    <cellStyle name="Percent 3 5 2 2 3" xfId="1588" xr:uid="{C9DAC1E1-0080-4259-B510-DAF722179E00}"/>
    <cellStyle name="Percent 3 5 2 2 4" xfId="2006" xr:uid="{D81BF42C-F313-461E-8101-9D69B662D8A2}"/>
    <cellStyle name="Percent 3 5 2 3" xfId="623" xr:uid="{D94D94F4-A7D9-4E90-A570-A47464641279}"/>
    <cellStyle name="Percent 3 5 2 4" xfId="1380" xr:uid="{A8773A4B-37BF-4E5F-A436-205DFC6791F2}"/>
    <cellStyle name="Percent 3 5 2 5" xfId="1798" xr:uid="{064100E0-00BE-40AC-B485-CF7D35DE7BC7}"/>
    <cellStyle name="Percent 3 5 3" xfId="253" xr:uid="{0214F95F-0B8D-4A73-B5AC-D925F82C2E62}"/>
    <cellStyle name="Percent 3 5 3 2" xfId="470" xr:uid="{7411C381-23B0-4A18-8294-2DD7EBED994C}"/>
    <cellStyle name="Percent 3 5 3 2 2" xfId="892" xr:uid="{3A741FD7-79BE-4BCF-871D-E4C21AB5D500}"/>
    <cellStyle name="Percent 3 5 3 2 3" xfId="1649" xr:uid="{3100D889-3A21-46AD-8EFD-9A697DA21483}"/>
    <cellStyle name="Percent 3 5 3 2 4" xfId="2067" xr:uid="{19DDD4A5-B233-4735-B656-AB36D76D210E}"/>
    <cellStyle name="Percent 3 5 3 3" xfId="684" xr:uid="{50CE21A6-4A7F-425D-AF52-420FF840BEAD}"/>
    <cellStyle name="Percent 3 5 3 4" xfId="1441" xr:uid="{F686BD57-191B-4A2E-AD7B-12DF62545A4B}"/>
    <cellStyle name="Percent 3 5 3 5" xfId="1859" xr:uid="{0A76BC0A-F038-4D00-AD06-1F57FEB39467}"/>
    <cellStyle name="Percent 3 5 4" xfId="348" xr:uid="{D6EBBC76-8578-40A5-AA1C-79A42CBAE34F}"/>
    <cellStyle name="Percent 3 5 4 2" xfId="770" xr:uid="{659636C0-08E2-4EC2-9084-5A84844C6BD7}"/>
    <cellStyle name="Percent 3 5 4 3" xfId="1527" xr:uid="{BE357156-3A2C-490E-94EE-01D774B5621F}"/>
    <cellStyle name="Percent 3 5 4 4" xfId="1945" xr:uid="{4CC6F990-C3C5-48DF-9013-3FB5009C3907}"/>
    <cellStyle name="Percent 3 5 5" xfId="562" xr:uid="{D63C5857-FA53-4F93-A1DA-343938D3567C}"/>
    <cellStyle name="Percent 3 5 6" xfId="1319" xr:uid="{F42EAD3C-1519-4F33-8E18-EE5CD16E1326}"/>
    <cellStyle name="Percent 3 5 7" xfId="1737" xr:uid="{7B0576C3-33C3-422E-A8B4-A97A10159AB0}"/>
    <cellStyle name="Percent 3 6" xfId="129" xr:uid="{33F2DF56-795F-49B1-9791-740CBFC273B5}"/>
    <cellStyle name="Percent 3 6 2" xfId="206" xr:uid="{0DC3686D-3F00-4E31-9C9E-C2879883571F}"/>
    <cellStyle name="Percent 3 6 2 2" xfId="423" xr:uid="{79D26AC4-8F04-4A2C-B11F-963C499561B6}"/>
    <cellStyle name="Percent 3 6 2 2 2" xfId="845" xr:uid="{EC5E4E53-BE04-47FA-828B-095670C7F593}"/>
    <cellStyle name="Percent 3 6 2 2 3" xfId="1602" xr:uid="{BF6C713D-9ED4-4D23-992F-2BD086DC56BB}"/>
    <cellStyle name="Percent 3 6 2 2 4" xfId="2020" xr:uid="{ADC61088-2C3E-4891-BB07-93D621BF2BC5}"/>
    <cellStyle name="Percent 3 6 2 3" xfId="637" xr:uid="{C33227B9-F32B-4934-98A9-CBB229B31F66}"/>
    <cellStyle name="Percent 3 6 2 4" xfId="1394" xr:uid="{07C25E90-80F6-4166-B326-5288AD567FC4}"/>
    <cellStyle name="Percent 3 6 2 5" xfId="1812" xr:uid="{8AD646E8-8714-43D1-8DCD-533AEE460E55}"/>
    <cellStyle name="Percent 3 6 3" xfId="267" xr:uid="{1A5533B5-0FDF-4374-AF5E-16AEE19A91E6}"/>
    <cellStyle name="Percent 3 6 3 2" xfId="484" xr:uid="{4E2A4BD7-0F73-4CE8-8772-810F4DB6CB57}"/>
    <cellStyle name="Percent 3 6 3 2 2" xfId="906" xr:uid="{89884DF2-5742-4D50-B4EB-2A1C905F7412}"/>
    <cellStyle name="Percent 3 6 3 2 3" xfId="1663" xr:uid="{407D93BF-F5EA-4C16-9ACB-E0AD09B3FE88}"/>
    <cellStyle name="Percent 3 6 3 2 4" xfId="2081" xr:uid="{5DA0B458-058D-463B-A956-F1A277BBE672}"/>
    <cellStyle name="Percent 3 6 3 3" xfId="698" xr:uid="{A1DAAC72-3AAD-4504-B4AC-A5885D4B63BB}"/>
    <cellStyle name="Percent 3 6 3 4" xfId="1455" xr:uid="{47E60E7A-D697-4D9B-A083-BB9565837051}"/>
    <cellStyle name="Percent 3 6 3 5" xfId="1873" xr:uid="{669D0A13-9781-46D2-8D0C-8CECC87BBE6B}"/>
    <cellStyle name="Percent 3 6 4" xfId="362" xr:uid="{44826A72-B196-497A-B7A3-7259F1509C44}"/>
    <cellStyle name="Percent 3 6 4 2" xfId="784" xr:uid="{84944350-2FE9-48DC-9530-B5FA1E40911C}"/>
    <cellStyle name="Percent 3 6 4 3" xfId="1541" xr:uid="{9F87535E-1EF8-4B8A-B44D-0301D3B739F9}"/>
    <cellStyle name="Percent 3 6 4 4" xfId="1959" xr:uid="{0007B0E1-1A0B-48BB-9303-F356C664E8FF}"/>
    <cellStyle name="Percent 3 6 5" xfId="576" xr:uid="{AB3CC6AF-FADB-4400-B43F-8F989890A1D1}"/>
    <cellStyle name="Percent 3 6 6" xfId="1333" xr:uid="{9972E3B3-7DA4-4567-AAEC-DBC018EB7140}"/>
    <cellStyle name="Percent 3 6 7" xfId="1751" xr:uid="{2539A294-4B28-4707-9367-7F76128C3168}"/>
    <cellStyle name="Percent 3 7" xfId="159" xr:uid="{3528ACDD-1935-4D41-B5A0-ED0628909625}"/>
    <cellStyle name="Percent 3 7 2" xfId="297" xr:uid="{960B7F71-0FA8-421C-AE95-FDB57E1E7B70}"/>
    <cellStyle name="Percent 3 7 2 2" xfId="510" xr:uid="{9EF94931-9FA2-4056-9249-731BA852BF1D}"/>
    <cellStyle name="Percent 3 7 2 2 2" xfId="932" xr:uid="{1FE71DB4-B8F0-4707-8858-44AEACDF740C}"/>
    <cellStyle name="Percent 3 7 2 2 3" xfId="1689" xr:uid="{85971909-7155-4CD5-9159-FB3DAE54CA81}"/>
    <cellStyle name="Percent 3 7 2 2 4" xfId="2107" xr:uid="{621F9F57-BA2A-418E-BBFE-2D39AE01E620}"/>
    <cellStyle name="Percent 3 7 2 3" xfId="724" xr:uid="{FCE104F5-80A5-4F9D-9B86-A72762FE8377}"/>
    <cellStyle name="Percent 3 7 2 4" xfId="1481" xr:uid="{DC2EEAC5-FE68-4ABB-8C77-4BC45344B2BA}"/>
    <cellStyle name="Percent 3 7 2 5" xfId="1899" xr:uid="{B126A828-74CA-4A28-ACC4-A970BB9D67BC}"/>
    <cellStyle name="Percent 3 7 3" xfId="376" xr:uid="{CC64C349-B3F6-420B-B425-A328FA9AA766}"/>
    <cellStyle name="Percent 3 7 3 2" xfId="798" xr:uid="{CE084BC6-87BD-42A3-9789-5E704A1A6B59}"/>
    <cellStyle name="Percent 3 7 3 3" xfId="1555" xr:uid="{2AB80E82-695D-4569-8A8D-6AD0FA466848}"/>
    <cellStyle name="Percent 3 7 3 4" xfId="1973" xr:uid="{5AFCFB1A-53F3-468B-82E0-AD9E7F9D300E}"/>
    <cellStyle name="Percent 3 7 4" xfId="590" xr:uid="{2F311A0E-9203-48E4-B3CA-506A2EAC4970}"/>
    <cellStyle name="Percent 3 7 5" xfId="1347" xr:uid="{C5C89E3B-CFCB-4E63-B9F4-0AE7C498504F}"/>
    <cellStyle name="Percent 3 7 6" xfId="1765" xr:uid="{44F7293E-8A5B-4B96-9D31-85EC7D837AA2}"/>
    <cellStyle name="Percent 3 8" xfId="220" xr:uid="{5269B1DB-05BE-4727-AF19-8E28426EE3FF}"/>
    <cellStyle name="Percent 3 8 2" xfId="437" xr:uid="{8599D26C-E865-4B6B-8CDC-664595C731AF}"/>
    <cellStyle name="Percent 3 8 2 2" xfId="859" xr:uid="{61321767-8B0A-484C-82EE-0A2EB1F6CD4A}"/>
    <cellStyle name="Percent 3 8 2 3" xfId="1616" xr:uid="{7891B9F7-3AD7-4C10-9ECA-EBBA6DAB1019}"/>
    <cellStyle name="Percent 3 8 2 4" xfId="2034" xr:uid="{D14A53FD-62D3-4D8C-AF79-BC2D7A87A21C}"/>
    <cellStyle name="Percent 3 8 3" xfId="651" xr:uid="{D3FCE5CA-CEDD-4F3E-A213-A7410DC4D1FF}"/>
    <cellStyle name="Percent 3 8 4" xfId="1408" xr:uid="{23AEDB38-3B0B-4504-89DD-6D611095A99F}"/>
    <cellStyle name="Percent 3 8 5" xfId="1826" xr:uid="{2006CE27-0EC8-4DC1-8B6E-E504AAF96E79}"/>
    <cellStyle name="Percent 3 9" xfId="315" xr:uid="{786365F7-A771-4CD1-A8D2-1963D96BC4B4}"/>
    <cellStyle name="Percent 3 9 2" xfId="737" xr:uid="{939B2FA6-4DB0-4855-A9E5-5B619C3585B1}"/>
    <cellStyle name="Percent 3 9 3" xfId="1494" xr:uid="{36F03AE2-7670-45C2-BE1C-892ADF27B072}"/>
    <cellStyle name="Percent 3 9 4" xfId="1912" xr:uid="{06E9666D-F071-4440-B8ED-25CE56B7A08E}"/>
    <cellStyle name="Percent 4" xfId="16" xr:uid="{807A15BF-A778-4CCB-9858-057ACF8F03AF}"/>
    <cellStyle name="Percent 4 2" xfId="298" xr:uid="{F61A3FE3-A015-4B96-8DF8-F31873F25CEF}"/>
    <cellStyle name="Percent 4 3" xfId="2127" xr:uid="{73DAA552-D3B2-4DF8-94AE-0F59B483B081}"/>
    <cellStyle name="Percent 4 4" xfId="2141" xr:uid="{1A0E87D7-4C95-4647-98D4-A417866A43D0}"/>
    <cellStyle name="Percent 5" xfId="24" xr:uid="{15D11F4D-1605-4521-9C46-19A1C461A2B9}"/>
    <cellStyle name="Percent 5 2" xfId="310" xr:uid="{84C6CE7A-284A-4108-B720-9275393E00D0}"/>
    <cellStyle name="Percent 6" xfId="30" xr:uid="{2E4F693A-B7BF-47A7-9C16-DC446716890C}"/>
    <cellStyle name="Percent 6 2" xfId="499" xr:uid="{F475990C-13CC-407F-8F71-7B3FAE20B334}"/>
    <cellStyle name="Percent 6 2 2" xfId="921" xr:uid="{5071A8B6-45CD-4CE0-BEFD-D29F29F2F4D8}"/>
    <cellStyle name="Percent 6 2 3" xfId="1678" xr:uid="{F1E7DFA2-7D6D-4D28-BA89-37F27C9D8F32}"/>
    <cellStyle name="Percent 6 2 4" xfId="2096" xr:uid="{DB2789EC-C475-44A7-80F0-348DCC4793D9}"/>
    <cellStyle name="Percent 6 3" xfId="283" xr:uid="{1F916267-D1E1-48FF-AF72-6C0744CE54B7}"/>
    <cellStyle name="Percent 6 4" xfId="713" xr:uid="{4F519118-ECE6-4397-BCB6-3500B759D319}"/>
    <cellStyle name="Percent 6 5" xfId="1470" xr:uid="{DB434C2C-CF15-4607-A45E-FA93169C0408}"/>
    <cellStyle name="Percent 6 6" xfId="1888" xr:uid="{7556BA3C-F841-4055-9777-D76F835DAD73}"/>
    <cellStyle name="Percent 7" xfId="2119" xr:uid="{D9EDB38B-6624-4BF8-B1C4-126588164889}"/>
    <cellStyle name="Percentage" xfId="1349" xr:uid="{3CB6AC47-B9DD-4154-885D-86347E2EAD6E}"/>
    <cellStyle name="Percentage Assumption" xfId="693" xr:uid="{0CE0324B-5F62-4117-B101-DF9F88754FFB}"/>
    <cellStyle name="Percentage subtotal" xfId="39" xr:uid="{78D244F7-7F79-4066-A8B0-F0AF151DC790}"/>
    <cellStyle name="Poznámka" xfId="66" xr:uid="{CAF6C429-A3C8-4416-8313-13075E5A2915}"/>
    <cellStyle name="PP" xfId="2076" xr:uid="{2A516851-1A86-4F8C-BAD1-72815BCE4D40}"/>
    <cellStyle name="Procenta 2" xfId="2144" xr:uid="{3BB94371-0D60-4037-906D-27727C045261}"/>
    <cellStyle name="Procenta 2 2" xfId="7" xr:uid="{2977D8DE-0CAF-4666-B94B-ECC11056BC49}"/>
    <cellStyle name="Procenta 2 2 2" xfId="2122" xr:uid="{4E51C02E-A7B1-4151-B580-95E55D4A6DF0}"/>
    <cellStyle name="Procenta 2 2 3" xfId="2136" xr:uid="{A9CC8BDB-BA6F-4BAB-BB09-22CF413B7909}"/>
    <cellStyle name="Procenta 2 3" xfId="2167" xr:uid="{D3DBE4BA-8B41-44CA-885A-2E38B5A8DDC7}"/>
    <cellStyle name="Procenta 3" xfId="12" xr:uid="{63C4895A-1883-43F7-ABBE-66E4D73D7883}"/>
    <cellStyle name="Propojená buňka" xfId="67" xr:uid="{84C3777C-6136-4B8A-8FF9-01B3F6AAEA38}"/>
    <cellStyle name="Prozent 2" xfId="2133" xr:uid="{5EE9FB87-C8AD-408F-89BC-8A3E56219961}"/>
    <cellStyle name="S0" xfId="99" xr:uid="{D55B96A2-0203-4F13-8A13-3AF4BDE3DB87}"/>
    <cellStyle name="S1" xfId="100" xr:uid="{36E843BA-5CFA-4D4A-85D4-A21F37BABB1D}"/>
    <cellStyle name="S1 2" xfId="141" xr:uid="{E4AAFBE1-4CAC-457A-BBBF-36D057ACCE37}"/>
    <cellStyle name="S10" xfId="109" xr:uid="{F2C35E88-42E3-4972-A288-EDFA9BD6A1C8}"/>
    <cellStyle name="S10 2" xfId="150" xr:uid="{8F4380A7-CFCE-411F-BDA8-13C8C89F9D6A}"/>
    <cellStyle name="S11" xfId="110" xr:uid="{F55B0D91-E2B6-44DA-AEC4-6BDDA774E385}"/>
    <cellStyle name="S11 2" xfId="151" xr:uid="{3E83F51D-636E-4A97-ABF4-E423A72E8ABB}"/>
    <cellStyle name="S12" xfId="111" xr:uid="{44BE9BEF-0B6B-4699-958B-BC936E5FD152}"/>
    <cellStyle name="S12 2" xfId="152" xr:uid="{8E93C93C-C8BB-434F-8C87-DFBF60902AE1}"/>
    <cellStyle name="S13" xfId="153" xr:uid="{AB5B35F4-5674-42BD-B55B-30AD10183631}"/>
    <cellStyle name="S14" xfId="154" xr:uid="{EA789999-C1A4-4652-B00D-1FB8803966FC}"/>
    <cellStyle name="S15" xfId="155" xr:uid="{70321B15-585C-4ED1-BE23-AD3BBC6B2B18}"/>
    <cellStyle name="S16" xfId="156" xr:uid="{048E75D1-A7B3-40CE-A1D1-9D418935D850}"/>
    <cellStyle name="S2" xfId="101" xr:uid="{F79C26AE-64C2-448F-BF18-31BEF609F053}"/>
    <cellStyle name="S2 2" xfId="142" xr:uid="{9CC836E2-8444-4342-93DA-4AE2C90EF178}"/>
    <cellStyle name="S3" xfId="102" xr:uid="{72C3F84B-4DBD-4F61-B5F1-BA727E9ABDF2}"/>
    <cellStyle name="S3 2" xfId="143" xr:uid="{95CB0ED5-F1F0-4C40-86C7-3D0E461AFE58}"/>
    <cellStyle name="S4" xfId="103" xr:uid="{72373A7A-6F0F-444F-A9AE-0C1BFCE92916}"/>
    <cellStyle name="S4 2" xfId="144" xr:uid="{3DCCB0C3-4096-4BFE-8A47-196A176A7E44}"/>
    <cellStyle name="S5" xfId="104" xr:uid="{2FE09678-21CF-42A8-AA8C-CF66C2ACB8A0}"/>
    <cellStyle name="S5 2" xfId="145" xr:uid="{819BF7AB-9EEC-44CC-B478-55963B6F15AE}"/>
    <cellStyle name="S6" xfId="105" xr:uid="{7B2B89B3-7B41-41B2-8AAA-6044EB3D30B2}"/>
    <cellStyle name="S6 2" xfId="146" xr:uid="{B3C0D82B-71F4-4489-BD90-8315B8E68F2E}"/>
    <cellStyle name="S7" xfId="106" xr:uid="{DDB72E01-D428-4507-9A2E-71F1284177EC}"/>
    <cellStyle name="S7 2" xfId="147" xr:uid="{96B04D46-6122-49A2-9D24-488A9D5AC912}"/>
    <cellStyle name="S8" xfId="107" xr:uid="{40F1F628-808A-421F-B00C-3CF3AB477630}"/>
    <cellStyle name="S8 2" xfId="148" xr:uid="{7607D931-6DE2-4D3A-876B-01A735D674B5}"/>
    <cellStyle name="S9" xfId="108" xr:uid="{830EDB6B-E770-418C-AF9C-5F23B3989EAB}"/>
    <cellStyle name="S9 2" xfId="149" xr:uid="{39568330-B828-44AD-92F2-DC05B7ADE236}"/>
    <cellStyle name="Správně" xfId="68" xr:uid="{571F08B9-6DAB-4D93-90A4-D3A79028BB67}"/>
    <cellStyle name="Standard 2" xfId="2129" xr:uid="{E722F1FE-1C4F-408A-AA45-C1B06264FA88}"/>
    <cellStyle name="Standard 3" xfId="27" xr:uid="{D86B83D8-6AD7-4C44-8A3C-AD2FF3973A20}"/>
    <cellStyle name="Standard 4" xfId="2130" xr:uid="{7855179E-D0B3-4CB3-941E-11D863CF154D}"/>
    <cellStyle name="Standard 5" xfId="2131" xr:uid="{75375A1E-712F-4910-A52B-26F667374623}"/>
    <cellStyle name="Styl 2" xfId="2150" xr:uid="{2541B3A9-D490-45BD-8EDC-B5EA8FE247C7}"/>
    <cellStyle name="Style 1" xfId="34" xr:uid="{05BCB07A-8AFC-42FF-8E62-4AD9D8344AE7}"/>
    <cellStyle name="Subtotal" xfId="2171" xr:uid="{ABF80389-F47E-4116-BB8F-757681114410}"/>
    <cellStyle name="Text Header" xfId="2172" xr:uid="{C0869B56-F980-4D88-863A-1CF599E949D5}"/>
    <cellStyle name="Text upozornění" xfId="69" xr:uid="{5211D43F-0F28-452B-BF56-0C616E43854F}"/>
    <cellStyle name="Units" xfId="2173" xr:uid="{6FD9EA18-0339-4140-8FA6-99487A42B95C}"/>
    <cellStyle name="Vstup" xfId="70" xr:uid="{816BD864-233F-43C6-8C39-BA5D6A538479}"/>
    <cellStyle name="Výpočet" xfId="71" xr:uid="{75D8AC38-D899-4A1A-858B-53FC56A5C8CA}"/>
    <cellStyle name="Výstup" xfId="72" xr:uid="{F7F669E2-809A-4936-983F-7E0EB11CFA16}"/>
    <cellStyle name="Vysvětlující text" xfId="73" xr:uid="{D41A1C46-67E2-4E48-B0EE-29A43C607758}"/>
    <cellStyle name="Zvýraznění 1" xfId="74" xr:uid="{57174D7C-A746-4DB7-82C8-D00B8037CD0F}"/>
    <cellStyle name="Zvýraznění 2" xfId="75" xr:uid="{03DDE9CC-BEEA-44B3-AD3B-3FA6ABAA3597}"/>
    <cellStyle name="Zvýraznění 3" xfId="76" xr:uid="{E07928D4-20A2-41D5-911B-9F8B3F914400}"/>
    <cellStyle name="Zvýraznění 4" xfId="77" xr:uid="{89F5E839-0B8D-42B1-8A81-3E9DED84027E}"/>
    <cellStyle name="Zvýraznění 5" xfId="78" xr:uid="{1AA32264-A2D8-4BC9-AC82-A6E147C409E9}"/>
    <cellStyle name="Zvýraznění 6" xfId="79" xr:uid="{DC3939B1-4EDC-4405-B4E8-4FE2E13187BD}"/>
  </cellStyles>
  <dxfs count="7">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border>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ill>
        <patternFill>
          <bgColor rgb="FFF0F0F0"/>
        </patternFill>
      </fill>
      <border>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
      <font>
        <b/>
        <i val="0"/>
        <strike val="0"/>
        <color theme="0"/>
      </font>
      <fill>
        <patternFill>
          <bgColor theme="3"/>
        </patternFill>
      </fill>
      <border>
        <left style="thin">
          <color theme="3"/>
        </left>
        <right style="thin">
          <color theme="3"/>
        </right>
        <top style="thin">
          <color theme="3"/>
        </top>
        <bottom style="thin">
          <color theme="3"/>
        </bottom>
        <vertical style="thin">
          <color theme="0"/>
        </vertical>
        <horizontal/>
      </border>
    </dxf>
    <dxf>
      <border>
        <left style="thin">
          <color theme="0" tint="-0.14996795556505021"/>
        </left>
        <right style="thin">
          <color theme="0" tint="-0.14996795556505021"/>
        </right>
        <top style="thin">
          <color theme="0" tint="-0.14996795556505021"/>
        </top>
        <bottom style="thin">
          <color theme="0" tint="-0.14996795556505021"/>
        </bottom>
        <vertical style="thin">
          <color theme="0" tint="-0.14996795556505021"/>
        </vertical>
        <horizontal style="thin">
          <color theme="0" tint="-0.14996795556505021"/>
        </horizontal>
      </border>
    </dxf>
  </dxfs>
  <tableStyles count="3" defaultTableStyle="TableStyleMedium2" defaultPivotStyle="PivotStyleLight16">
    <tableStyle name="Invisible" pivot="0" table="0" count="0" xr9:uid="{56B71A51-B14D-4F75-9EA6-9AE0CF37DAE5}"/>
    <tableStyle name="TableStyleQueryPreview" pivot="0" count="4" xr9:uid="{4F00CF8E-1CB9-4246-B683-543599ACE517}">
      <tableStyleElement type="wholeTable" dxfId="6"/>
      <tableStyleElement type="headerRow" dxfId="5"/>
      <tableStyleElement type="firstRowStripe" dxfId="4"/>
      <tableStyleElement type="secondRowStripe" dxfId="3"/>
    </tableStyle>
    <tableStyle name="TableStyleQueryResult" pivot="0" count="3" xr9:uid="{D710C7B9-59DD-4CBA-BBA1-72E79A0B886D}">
      <tableStyleElement type="wholeTable" dxfId="2"/>
      <tableStyleElement type="headerRow" dxfId="1"/>
      <tableStyleElement type="firstRowStripe" dxfId="0"/>
    </tableStyle>
  </tableStyles>
  <colors>
    <mruColors>
      <color rgb="FF000000"/>
      <color rgb="FFFFFB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connections" Target="connections.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19</xdr:col>
      <xdr:colOff>236627</xdr:colOff>
      <xdr:row>4</xdr:row>
      <xdr:rowOff>41710</xdr:rowOff>
    </xdr:from>
    <xdr:to>
      <xdr:col>22</xdr:col>
      <xdr:colOff>592927</xdr:colOff>
      <xdr:row>5</xdr:row>
      <xdr:rowOff>20320</xdr:rowOff>
    </xdr:to>
    <xdr:pic>
      <xdr:nvPicPr>
        <xdr:cNvPr id="3" name="Picture 2" descr="Euromedia | XertecSolutions">
          <a:extLst>
            <a:ext uri="{FF2B5EF4-FFF2-40B4-BE49-F238E27FC236}">
              <a16:creationId xmlns:a16="http://schemas.microsoft.com/office/drawing/2014/main" id="{202718D7-36F2-4A5D-BC8B-2B8EA5AAE2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29267" y="1078030"/>
          <a:ext cx="1697420" cy="191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19713</xdr:colOff>
      <xdr:row>34</xdr:row>
      <xdr:rowOff>136995</xdr:rowOff>
    </xdr:from>
    <xdr:to>
      <xdr:col>23</xdr:col>
      <xdr:colOff>96320</xdr:colOff>
      <xdr:row>42</xdr:row>
      <xdr:rowOff>76200</xdr:rowOff>
    </xdr:to>
    <xdr:sp macro="" textlink="">
      <xdr:nvSpPr>
        <xdr:cNvPr id="4" name="Rectangle 3">
          <a:extLst>
            <a:ext uri="{FF2B5EF4-FFF2-40B4-BE49-F238E27FC236}">
              <a16:creationId xmlns:a16="http://schemas.microsoft.com/office/drawing/2014/main" id="{8BDA32E0-A473-430D-AA19-BB6E7D202D78}"/>
            </a:ext>
          </a:extLst>
        </xdr:cNvPr>
        <xdr:cNvSpPr/>
      </xdr:nvSpPr>
      <xdr:spPr>
        <a:xfrm>
          <a:off x="229263" y="4575645"/>
          <a:ext cx="10782707" cy="1129830"/>
        </a:xfrm>
        <a:prstGeom prst="rect">
          <a:avLst/>
        </a:prstGeom>
        <a:solidFill>
          <a:sysClr val="window" lastClr="FFFFFF"/>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Qualitative update</a:t>
          </a:r>
          <a:br>
            <a:rPr lang="en-US" sz="1100" b="1">
              <a:solidFill>
                <a:sysClr val="windowText" lastClr="000000"/>
              </a:solidFill>
            </a:rPr>
          </a:br>
          <a:endParaRPr lang="en-US" sz="1100" b="1">
            <a:solidFill>
              <a:sysClr val="windowText" lastClr="000000"/>
            </a:solidFill>
          </a:endParaRPr>
        </a:p>
      </xdr:txBody>
    </xdr:sp>
    <xdr:clientData/>
  </xdr:twoCellAnchor>
  <xdr:twoCellAnchor editAs="oneCell">
    <xdr:from>
      <xdr:col>2</xdr:col>
      <xdr:colOff>101600</xdr:colOff>
      <xdr:row>2</xdr:row>
      <xdr:rowOff>142240</xdr:rowOff>
    </xdr:from>
    <xdr:to>
      <xdr:col>6</xdr:col>
      <xdr:colOff>4515</xdr:colOff>
      <xdr:row>2</xdr:row>
      <xdr:rowOff>434752</xdr:rowOff>
    </xdr:to>
    <xdr:pic>
      <xdr:nvPicPr>
        <xdr:cNvPr id="5" name="Graphic 1">
          <a:extLst>
            <a:ext uri="{FF2B5EF4-FFF2-40B4-BE49-F238E27FC236}">
              <a16:creationId xmlns:a16="http://schemas.microsoft.com/office/drawing/2014/main" id="{9FF18B84-0AA9-9B4F-BC71-490AACA2A0F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47040" y="508000"/>
          <a:ext cx="2544515" cy="29251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Controll\Monthly%20Reporting\EMG\EMG_Z&#225;v&#283;rka\2019\podklady%20pro%20board%2020_02_06\Report_NLX_2019%20FINAL.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1_Report_RC"/>
      <sheetName val="1_BS"/>
      <sheetName val="1_CF"/>
      <sheetName val="2_Ucel_Board"/>
      <sheetName val="2_Ucel_Prodejna"/>
      <sheetName val="3_Ucel_Board_Prodejna"/>
      <sheetName val="3_Ucel_Prodejna_Board"/>
      <sheetName val="4_Ucel_Prodejna_Board_Account"/>
      <sheetName val="4_Ucel_Board_Account"/>
      <sheetName val="Report_Board"/>
      <sheetName val="Report_Board_Utvar"/>
      <sheetName val="Report_Board_Utvary_All"/>
      <sheetName val="Report_Board_Dist_Cesta"/>
      <sheetName val="Report_2"/>
      <sheetName val="Report_2b"/>
      <sheetName val="KPI_Plocha"/>
      <sheetName val="2_Ucel_Board_b"/>
      <sheetName val="Total"/>
      <sheetName val="_S"/>
      <sheetName val="_T"/>
      <sheetName val="KPI_Headcount"/>
      <sheetName val="Pivotka"/>
      <sheetName val="DATA"/>
      <sheetName val="FS"/>
      <sheetName val="Setup"/>
      <sheetName val="Setup 2"/>
      <sheetName val="Setup 3"/>
      <sheetName val="For_CF"/>
      <sheetName val="Pivots"/>
      <sheetName val="KT"/>
      <sheetName val="KT - kontrola"/>
      <sheetName val="BS"/>
      <sheetName val="PL"/>
      <sheetName val="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persons/person.xml><?xml version="1.0" encoding="utf-8"?>
<personList xmlns="http://schemas.microsoft.com/office/spreadsheetml/2018/threadedcomments" xmlns:x="http://schemas.openxmlformats.org/spreadsheetml/2006/main">
  <person displayName="Oleksii Bobrov" id="{92EE8CCE-BDB4-41D4-B3AC-03190D4C42D6}" userId="S::oleksii.bobrov@rockawaycapital.com::e64f87cd-30cc-4b77-bee6-8a224409617f" providerId="AD"/>
  <person displayName="Diana Hricišáková" id="{AB9A3D7C-7A3B-0C48-8033-6EF322558C3D}" userId="S::diana.hricisakova@rockawaycapital.com::4412c2bd-7cff-4e75-a9ee-5a4da4f06e5d"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P25" dT="2025-11-21T16:07:59.69" personId="{AB9A3D7C-7A3B-0C48-8033-6EF322558C3D}" id="{699ABDB5-CBB0-DE44-839E-E3070FA617C0}">
    <text>pro-forma EBITDA</text>
  </threadedComment>
  <threadedComment ref="BQ25" dT="2025-11-21T16:08:07.35" personId="{AB9A3D7C-7A3B-0C48-8033-6EF322558C3D}" id="{8DAAF2C7-8711-C04E-95DE-2772CF94F1CE}">
    <text>pro-forma EBITDA</text>
  </threadedComment>
  <threadedComment ref="BR25" dT="2025-11-21T16:08:13.52" personId="{AB9A3D7C-7A3B-0C48-8033-6EF322558C3D}" id="{C297CA9D-D2AC-9C47-98AA-0DB1FFCEAFF6}">
    <text>pro-forma EBITDA</text>
  </threadedComment>
  <threadedComment ref="BS25" dT="2025-11-21T15:31:26.11" personId="{AB9A3D7C-7A3B-0C48-8033-6EF322558C3D}" id="{F24883D3-94EE-4F43-AD52-8E49F57E10A5}">
    <text>pro-forma EBITDA</text>
  </threadedComment>
  <threadedComment ref="BT25" dT="2025-12-02T17:57:02.77" personId="{92EE8CCE-BDB4-41D4-B3AC-03190D4C42D6}" id="{42C2D967-1D1C-4BCA-9294-F5E166443A2E}">
    <text>Pro-forma EBITDA</text>
  </threadedComment>
</ThreadedComments>
</file>

<file path=xl/threadedComments/threadedComment2.xml><?xml version="1.0" encoding="utf-8"?>
<ThreadedComments xmlns="http://schemas.microsoft.com/office/spreadsheetml/2018/threadedcomments" xmlns:x="http://schemas.openxmlformats.org/spreadsheetml/2006/main">
  <threadedComment ref="BP25" dT="2025-11-21T16:07:59.69" personId="{AB9A3D7C-7A3B-0C48-8033-6EF322558C3D}" id="{D9DEFD6B-CBFD-4030-87DB-E5D6C56491AB}">
    <text>pro-forma EBITDA</text>
  </threadedComment>
  <threadedComment ref="BQ25" dT="2025-11-21T16:08:07.35" personId="{AB9A3D7C-7A3B-0C48-8033-6EF322558C3D}" id="{74732F45-BCA5-4E55-81C6-171E58A90B3A}">
    <text>pro-forma EBITDA</text>
  </threadedComment>
  <threadedComment ref="BR25" dT="2025-11-21T16:08:13.52" personId="{AB9A3D7C-7A3B-0C48-8033-6EF322558C3D}" id="{656ECFEC-202D-4A8D-9E10-C47AE8DBF882}">
    <text>pro-forma EBITDA</text>
  </threadedComment>
  <threadedComment ref="BS25" dT="2025-11-21T15:31:26.11" personId="{AB9A3D7C-7A3B-0C48-8033-6EF322558C3D}" id="{CA78118F-698A-480C-92D5-66F3CF7D4454}">
    <text>pro-forma EBITDA</text>
  </threadedComment>
  <threadedComment ref="BT25" dT="2025-12-02T17:57:02.77" personId="{92EE8CCE-BDB4-41D4-B3AC-03190D4C42D6}" id="{A55FBD4C-6CD0-491B-9579-0FBB3F38CF7C}">
    <text>Pro-forma EBITDA</text>
  </threadedComment>
  <threadedComment ref="BP26" dT="2025-11-21T16:07:59.69" personId="{AB9A3D7C-7A3B-0C48-8033-6EF322558C3D}" id="{C9455025-0C72-42D8-91B4-114C7B0904B8}">
    <text>pro-forma EBITDA</text>
  </threadedComment>
  <threadedComment ref="BQ26" dT="2025-11-21T16:08:07.35" personId="{AB9A3D7C-7A3B-0C48-8033-6EF322558C3D}" id="{42EC3CB5-2A3C-4A36-98D6-5DDFBB6F74AB}">
    <text>pro-forma EBITDA</text>
  </threadedComment>
  <threadedComment ref="BR26" dT="2025-11-21T16:08:13.52" personId="{AB9A3D7C-7A3B-0C48-8033-6EF322558C3D}" id="{68FA04E9-6DE8-40A4-B003-87E3C372561F}">
    <text>pro-forma EBITDA</text>
  </threadedComment>
  <threadedComment ref="BS26" dT="2025-11-21T15:31:26.11" personId="{AB9A3D7C-7A3B-0C48-8033-6EF322558C3D}" id="{74A2E2D7-926A-4F78-A407-3F133329733B}">
    <text>pro-forma EBITDA</text>
  </threadedComment>
  <threadedComment ref="BT26" dT="2025-12-02T17:57:02.77" personId="{92EE8CCE-BDB4-41D4-B3AC-03190D4C42D6}" id="{CBA9A5D0-E8ED-4187-954F-73E298A62372}">
    <text>Pro-forma EBITDA</text>
  </threadedComment>
</ThreadedComment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6B9FC-406D-48CC-838A-F90E07E02CF0}">
  <dimension ref="A1"/>
  <sheetViews>
    <sheetView workbookViewId="0"/>
  </sheetViews>
  <sheetFormatPr defaultColWidth="8.796875" defaultRowHeight="14.25" x14ac:dyDescent="0.45"/>
  <sheetData>
    <row r="1" spans="1:1" x14ac:dyDescent="0.45">
      <c r="A1" t="s">
        <v>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0CC7-2A3C-40F0-B89A-32A83D2280E6}">
  <sheetPr>
    <tabColor rgb="FF0070C0"/>
    <outlinePr summaryBelow="0" summaryRight="0"/>
    <pageSetUpPr fitToPage="1"/>
  </sheetPr>
  <dimension ref="B1:AH64"/>
  <sheetViews>
    <sheetView showGridLines="0" zoomScale="70" zoomScaleNormal="70" zoomScaleSheetLayoutView="136" workbookViewId="0">
      <selection activeCell="D7" sqref="D7"/>
    </sheetView>
  </sheetViews>
  <sheetFormatPr defaultColWidth="10.6640625" defaultRowHeight="11.65" outlineLevelRow="2" outlineLevelCol="1" x14ac:dyDescent="0.35"/>
  <cols>
    <col min="1" max="1" width="3" style="149" customWidth="1"/>
    <col min="2" max="2" width="1.46484375" style="149" customWidth="1"/>
    <col min="3" max="3" width="14.33203125" style="149" customWidth="1"/>
    <col min="4" max="4" width="11.33203125" style="149" customWidth="1"/>
    <col min="5" max="5" width="7.46484375" style="149" customWidth="1"/>
    <col min="6" max="6" width="1.46484375" style="149" customWidth="1" outlineLevel="1"/>
    <col min="7" max="8" width="8.33203125" style="149" bestFit="1" customWidth="1" outlineLevel="1"/>
    <col min="9" max="9" width="7.6640625" style="149" customWidth="1" outlineLevel="1"/>
    <col min="10" max="10" width="1.46484375" style="149" customWidth="1"/>
    <col min="11" max="13" width="8.6640625" style="149" customWidth="1"/>
    <col min="14" max="14" width="1.46484375" style="149" customWidth="1"/>
    <col min="15" max="15" width="8.6640625" style="149" customWidth="1"/>
    <col min="16" max="16" width="8.46484375" style="149" customWidth="1"/>
    <col min="17" max="17" width="1.46484375" style="149" customWidth="1"/>
    <col min="18" max="18" width="7.33203125" style="149" customWidth="1"/>
    <col min="19" max="19" width="8.46484375" style="149" customWidth="1"/>
    <col min="20" max="20" width="8.796875" style="149" bestFit="1" customWidth="1"/>
    <col min="21" max="21" width="1.46484375" style="149" customWidth="1"/>
    <col min="22" max="22" width="7.33203125" style="149" customWidth="1"/>
    <col min="23" max="23" width="11.46484375" style="149" bestFit="1" customWidth="1"/>
    <col min="24" max="24" width="1.46484375" style="150" customWidth="1"/>
    <col min="25" max="25" width="1.33203125" style="149" customWidth="1"/>
    <col min="26" max="16384" width="10.6640625" style="149"/>
  </cols>
  <sheetData>
    <row r="1" spans="2:34" ht="14" customHeight="1" x14ac:dyDescent="0.35"/>
    <row r="2" spans="2:34" ht="14" customHeight="1" x14ac:dyDescent="0.35"/>
    <row r="3" spans="2:34" ht="45.5" customHeight="1" x14ac:dyDescent="0.35">
      <c r="B3" s="16"/>
      <c r="C3" s="17"/>
      <c r="D3" s="17"/>
      <c r="E3" s="17"/>
      <c r="F3" s="17"/>
      <c r="G3" s="17"/>
      <c r="H3" s="17"/>
      <c r="I3" s="17"/>
      <c r="J3" s="17"/>
      <c r="K3" s="17"/>
      <c r="L3" s="17"/>
      <c r="M3" s="17"/>
      <c r="N3" s="17"/>
      <c r="O3" s="17"/>
      <c r="P3" s="9"/>
      <c r="Q3" s="121"/>
      <c r="R3" s="17"/>
      <c r="S3" s="17"/>
      <c r="T3" s="17"/>
      <c r="U3" s="17"/>
      <c r="V3" s="17"/>
      <c r="W3" s="9">
        <f ca="1">TODAY()</f>
        <v>46172</v>
      </c>
      <c r="X3" s="18"/>
    </row>
    <row r="4" spans="2:34" ht="8" customHeight="1" x14ac:dyDescent="0.35">
      <c r="B4" s="10"/>
      <c r="C4" s="5"/>
      <c r="D4" s="5"/>
      <c r="E4" s="5"/>
      <c r="F4" s="5"/>
      <c r="G4" s="5"/>
      <c r="H4" s="5"/>
      <c r="I4" s="5"/>
      <c r="J4" s="5"/>
      <c r="K4" s="5"/>
      <c r="L4" s="5"/>
      <c r="M4" s="5"/>
      <c r="N4" s="5"/>
      <c r="O4" s="5"/>
      <c r="P4" s="122"/>
      <c r="Q4" s="133"/>
      <c r="R4" s="133"/>
      <c r="S4" s="5"/>
      <c r="T4" s="5"/>
      <c r="U4" s="5"/>
      <c r="V4" s="5"/>
      <c r="W4" s="5"/>
      <c r="X4" s="45"/>
    </row>
    <row r="5" spans="2:34" s="151" customFormat="1" ht="17" customHeight="1" x14ac:dyDescent="0.35">
      <c r="B5" s="1"/>
      <c r="C5" s="46" t="s">
        <v>0</v>
      </c>
      <c r="D5" s="47" t="s">
        <v>1</v>
      </c>
      <c r="E5" s="86"/>
      <c r="F5" s="86"/>
      <c r="G5" s="46" t="s">
        <v>2</v>
      </c>
      <c r="H5" s="48"/>
      <c r="I5" s="169">
        <v>1</v>
      </c>
      <c r="J5" s="4"/>
      <c r="K5" s="86"/>
      <c r="L5" s="86"/>
      <c r="M5" s="86"/>
      <c r="N5" s="86"/>
      <c r="O5" s="86"/>
      <c r="P5" s="86"/>
      <c r="Q5" s="4"/>
      <c r="R5" s="4"/>
      <c r="S5" s="4"/>
      <c r="T5" s="4"/>
      <c r="U5" s="4"/>
      <c r="V5" s="4"/>
      <c r="W5" s="4"/>
      <c r="X5" s="49"/>
    </row>
    <row r="6" spans="2:34" s="151" customFormat="1" ht="16.05" customHeight="1" outlineLevel="2" x14ac:dyDescent="0.35">
      <c r="B6" s="1"/>
      <c r="C6" s="46" t="s">
        <v>3</v>
      </c>
      <c r="D6" s="87">
        <v>2026</v>
      </c>
      <c r="E6" s="86"/>
      <c r="F6" s="86"/>
      <c r="G6" s="46" t="s">
        <v>4</v>
      </c>
      <c r="I6" s="87">
        <f ca="1">IF(COUNTIF(_xlfn.ANCHORARRAY(K53),$D$8)&gt;0,$D$6,$D$6+1)</f>
        <v>2026</v>
      </c>
      <c r="J6" s="4"/>
      <c r="K6" s="86"/>
      <c r="L6" s="86"/>
      <c r="M6" s="86"/>
      <c r="N6" s="86"/>
      <c r="O6" s="86"/>
      <c r="P6" s="86"/>
      <c r="Q6" s="4"/>
      <c r="R6" s="4"/>
      <c r="S6" s="4"/>
      <c r="T6" s="46"/>
      <c r="U6" s="4"/>
      <c r="V6" s="4"/>
      <c r="W6" s="4"/>
      <c r="X6" s="49"/>
    </row>
    <row r="7" spans="2:34" s="151" customFormat="1" ht="24" customHeight="1" outlineLevel="1" collapsed="1" x14ac:dyDescent="0.35">
      <c r="B7" s="1"/>
      <c r="C7" s="46" t="s">
        <v>5</v>
      </c>
      <c r="D7" s="47" t="s">
        <v>38</v>
      </c>
      <c r="E7" s="88"/>
      <c r="F7" s="86"/>
      <c r="H7" s="48"/>
      <c r="I7" s="190"/>
      <c r="J7" s="4"/>
      <c r="K7" s="86"/>
      <c r="L7" s="86"/>
      <c r="M7" s="86"/>
      <c r="N7" s="86"/>
      <c r="O7" s="86"/>
      <c r="P7" s="86"/>
      <c r="Q7" s="4"/>
      <c r="R7" s="4"/>
      <c r="S7" s="4"/>
      <c r="T7" s="4"/>
      <c r="U7" s="4"/>
      <c r="V7" s="4"/>
      <c r="W7" s="4"/>
      <c r="X7" s="49"/>
    </row>
    <row r="8" spans="2:34" s="151" customFormat="1" ht="7.25" hidden="1" customHeight="1" outlineLevel="2" x14ac:dyDescent="0.35">
      <c r="B8" s="1"/>
      <c r="C8" s="50" t="s">
        <v>7</v>
      </c>
      <c r="D8" s="50">
        <f>VLOOKUP(D7,C53:E64,3,FALSE)</f>
        <v>2</v>
      </c>
      <c r="E8" s="86"/>
      <c r="F8" s="86"/>
      <c r="G8" s="4"/>
      <c r="H8" s="48"/>
      <c r="I8" s="86"/>
      <c r="J8" s="4"/>
      <c r="K8" s="86"/>
      <c r="L8" s="86"/>
      <c r="M8" s="86"/>
      <c r="N8" s="86"/>
      <c r="O8" s="86"/>
      <c r="P8" s="86"/>
      <c r="Q8" s="4"/>
      <c r="R8" s="4"/>
      <c r="S8" s="4"/>
      <c r="T8" s="4"/>
      <c r="U8" s="4"/>
      <c r="V8" s="4"/>
      <c r="W8" s="4"/>
      <c r="X8" s="49"/>
      <c r="AD8" s="152"/>
      <c r="AE8" s="152"/>
    </row>
    <row r="9" spans="2:34" ht="8" customHeight="1" x14ac:dyDescent="0.35">
      <c r="B9" s="10"/>
      <c r="C9" s="19"/>
      <c r="D9" s="19"/>
      <c r="E9" s="5"/>
      <c r="F9" s="5"/>
      <c r="G9" s="5"/>
      <c r="H9" s="5"/>
      <c r="I9" s="5"/>
      <c r="J9" s="5"/>
      <c r="K9" s="4"/>
      <c r="L9" s="4"/>
      <c r="M9" s="4"/>
      <c r="N9" s="4"/>
      <c r="O9" s="4"/>
      <c r="P9" s="4"/>
      <c r="Q9" s="5"/>
      <c r="R9" s="5"/>
      <c r="S9" s="5"/>
      <c r="T9" s="5"/>
      <c r="U9" s="5"/>
      <c r="V9" s="5"/>
      <c r="W9" s="5"/>
      <c r="X9" s="45"/>
      <c r="AD9" s="153"/>
      <c r="AE9" s="153"/>
      <c r="AH9" s="153"/>
    </row>
    <row r="10" spans="2:34" s="154" customFormat="1" ht="22.25" customHeight="1" x14ac:dyDescent="0.45">
      <c r="B10" s="56"/>
      <c r="C10" s="78" t="s">
        <v>8</v>
      </c>
      <c r="D10" s="78"/>
      <c r="E10" s="78"/>
      <c r="F10" s="20"/>
      <c r="G10" s="200" t="s">
        <v>9</v>
      </c>
      <c r="H10" s="200"/>
      <c r="I10" s="200"/>
      <c r="J10" s="20"/>
      <c r="K10" s="77" t="s">
        <v>10</v>
      </c>
      <c r="L10" s="77"/>
      <c r="M10" s="77"/>
      <c r="N10" s="77"/>
      <c r="O10" s="77"/>
      <c r="P10" s="77"/>
      <c r="Q10" s="20"/>
      <c r="R10" s="78" t="s">
        <v>11</v>
      </c>
      <c r="S10" s="78"/>
      <c r="T10" s="78"/>
      <c r="U10" s="78"/>
      <c r="V10" s="78"/>
      <c r="W10" s="78"/>
      <c r="X10" s="57"/>
      <c r="AD10" s="155"/>
      <c r="AE10" s="155"/>
    </row>
    <row r="11" spans="2:34" s="173" customFormat="1" ht="13.25" customHeight="1" collapsed="1" x14ac:dyDescent="0.35">
      <c r="B11" s="174"/>
      <c r="C11" s="175"/>
      <c r="D11" s="175"/>
      <c r="E11" s="175"/>
      <c r="F11" s="176"/>
      <c r="G11" s="177" t="s">
        <v>12</v>
      </c>
      <c r="H11" s="177" t="s">
        <v>12</v>
      </c>
      <c r="I11" s="177" t="s">
        <v>13</v>
      </c>
      <c r="J11" s="177"/>
      <c r="K11" s="177" t="s">
        <v>12</v>
      </c>
      <c r="L11" s="177" t="s">
        <v>13</v>
      </c>
      <c r="M11" s="177" t="s">
        <v>14</v>
      </c>
      <c r="N11" s="177"/>
      <c r="O11" s="177" t="s">
        <v>12</v>
      </c>
      <c r="P11" s="177" t="s">
        <v>14</v>
      </c>
      <c r="Q11" s="177"/>
      <c r="R11" s="177" t="s">
        <v>12</v>
      </c>
      <c r="S11" s="177" t="s">
        <v>13</v>
      </c>
      <c r="T11" s="177" t="s">
        <v>14</v>
      </c>
      <c r="U11" s="177"/>
      <c r="V11" s="177" t="s">
        <v>15</v>
      </c>
      <c r="W11" s="177" t="s">
        <v>14</v>
      </c>
      <c r="X11" s="178"/>
    </row>
    <row r="12" spans="2:34" s="187" customFormat="1" ht="13.25" hidden="1" customHeight="1" outlineLevel="1" x14ac:dyDescent="0.3">
      <c r="B12" s="179"/>
      <c r="C12" s="180"/>
      <c r="D12" s="180"/>
      <c r="E12" s="180"/>
      <c r="F12" s="181"/>
      <c r="G12" s="182">
        <f ca="1">IF(D8&lt;=12,I6-2002,I6-2001)</f>
        <v>24</v>
      </c>
      <c r="H12" s="183">
        <f ca="1">G12+1</f>
        <v>25</v>
      </c>
      <c r="I12" s="183">
        <f ca="1">H12+1</f>
        <v>26</v>
      </c>
      <c r="J12" s="184"/>
      <c r="K12" s="183">
        <f ca="1">I12</f>
        <v>26</v>
      </c>
      <c r="L12" s="183">
        <f ca="1">K12</f>
        <v>26</v>
      </c>
      <c r="M12" s="184"/>
      <c r="N12" s="184"/>
      <c r="O12" s="183">
        <f ca="1">L12-1</f>
        <v>25</v>
      </c>
      <c r="P12" s="184"/>
      <c r="Q12" s="184"/>
      <c r="R12" s="183">
        <f ca="1">I12</f>
        <v>26</v>
      </c>
      <c r="S12" s="183">
        <f ca="1">R12</f>
        <v>26</v>
      </c>
      <c r="T12" s="184"/>
      <c r="U12" s="184"/>
      <c r="V12" s="183">
        <f ca="1">S12-1</f>
        <v>25</v>
      </c>
      <c r="W12" s="185"/>
      <c r="X12" s="186"/>
    </row>
    <row r="13" spans="2:34" s="173" customFormat="1" ht="13.25" customHeight="1" x14ac:dyDescent="0.35">
      <c r="B13" s="174"/>
      <c r="C13" s="188" t="s">
        <v>16</v>
      </c>
      <c r="D13" s="188"/>
      <c r="E13" s="188"/>
      <c r="F13" s="176"/>
      <c r="G13" s="189" t="str">
        <f ca="1">"FY"&amp;G12</f>
        <v>FY24</v>
      </c>
      <c r="H13" s="189" t="str">
        <f ca="1">"FY"&amp;H12</f>
        <v>FY25</v>
      </c>
      <c r="I13" s="189" t="str">
        <f ca="1">"FY"&amp;I12</f>
        <v>FY26</v>
      </c>
      <c r="J13" s="177"/>
      <c r="K13" s="189" t="str">
        <f ca="1">"YTD FY"&amp;K12</f>
        <v>YTD FY26</v>
      </c>
      <c r="L13" s="189" t="str">
        <f ca="1">"YTD FY"&amp;L12</f>
        <v>YTD FY26</v>
      </c>
      <c r="M13" s="189" t="s">
        <v>17</v>
      </c>
      <c r="N13" s="177"/>
      <c r="O13" s="189" t="str">
        <f ca="1">"YTD FY"&amp;O12</f>
        <v>YTD FY25</v>
      </c>
      <c r="P13" s="189" t="s">
        <v>18</v>
      </c>
      <c r="Q13" s="177"/>
      <c r="R13" s="189" t="str">
        <f>LEFT($D$7,3)</f>
        <v>Feb</v>
      </c>
      <c r="S13" s="189" t="str">
        <f>LEFT($D$7,3)</f>
        <v>Feb</v>
      </c>
      <c r="T13" s="189" t="s">
        <v>17</v>
      </c>
      <c r="U13" s="177"/>
      <c r="V13" s="189" t="str">
        <f>LEFT($D$7,3)</f>
        <v>Feb</v>
      </c>
      <c r="W13" s="189" t="s">
        <v>18</v>
      </c>
      <c r="X13" s="178"/>
    </row>
    <row r="14" spans="2:34" s="151" customFormat="1" ht="5" customHeight="1" collapsed="1" x14ac:dyDescent="0.35">
      <c r="B14" s="1"/>
      <c r="C14" s="2"/>
      <c r="D14" s="2"/>
      <c r="E14" s="2"/>
      <c r="F14" s="2"/>
      <c r="G14" s="11"/>
      <c r="H14" s="11"/>
      <c r="I14" s="11"/>
      <c r="J14" s="12"/>
      <c r="K14" s="12"/>
      <c r="L14" s="12"/>
      <c r="M14" s="12"/>
      <c r="N14" s="12"/>
      <c r="O14" s="12"/>
      <c r="P14" s="12"/>
      <c r="Q14" s="12"/>
      <c r="R14" s="12"/>
      <c r="S14" s="12"/>
      <c r="T14" s="12"/>
      <c r="U14" s="12"/>
      <c r="V14" s="12"/>
      <c r="W14" s="12"/>
      <c r="X14" s="49"/>
      <c r="AD14" s="152"/>
      <c r="AE14" s="152"/>
    </row>
    <row r="15" spans="2:34" ht="17.75" hidden="1" customHeight="1" outlineLevel="1" x14ac:dyDescent="0.35">
      <c r="B15" s="112"/>
      <c r="C15" s="63" t="s">
        <v>19</v>
      </c>
      <c r="D15" s="113"/>
      <c r="E15" s="113"/>
      <c r="F15" s="113"/>
      <c r="G15" s="172">
        <f ca="1">IFERROR(SUMIF(EMG_act!$C$2:$CI$2,G$12,EMG_act!$C12:$CI12),"-")</f>
        <v>0</v>
      </c>
      <c r="H15" s="172">
        <f ca="1">IFERROR(SUMIF(EMG_act!$C$2:$CI$2,H$12,EMG_act!$C12:$CI12),"-")</f>
        <v>0</v>
      </c>
      <c r="I15" s="170" t="str">
        <f ca="1">IFERROR(SUMIF(EMG_bud!$C$2:$CI$2,I$12,EMG_bud!#REF!),"-")</f>
        <v>-</v>
      </c>
      <c r="J15" s="126"/>
      <c r="K15" s="172">
        <f ca="1">IFERROR(SUMIFS(EMG_act!$C12:$CC12,EMG_act!$C$2:$CC$2,K$12,EMG_act!$C$3:$CC$3,"&lt;="&amp;$D$8),"-")</f>
        <v>0</v>
      </c>
      <c r="L15" s="172" t="str">
        <f ca="1">IFERROR(SUMIFS(EMG_bud!#REF!,EMG_bud!$C$2:$CC$2,L$12,EMG_bud!$C$3:$CC$3,"&lt;="&amp;$D$8),"-")</f>
        <v>-</v>
      </c>
      <c r="M15" s="90" t="str">
        <f ca="1">IF(OR(AND(K15&lt;0,L15&lt;0),AND(K15&gt;0,L15&lt;0)),-IFERROR(K15/L15-1,"-"),IFERROR(K15/L15-1,"-"))</f>
        <v>-</v>
      </c>
      <c r="N15" s="126"/>
      <c r="O15" s="172">
        <f ca="1">IFERROR(SUMIFS(EMG_act!$C12:$CC12,EMG_act!$C$2:$CC$2,O$12,EMG_act!$C$3:$CC$3,"&lt;="&amp;$D$8),"-")</f>
        <v>0</v>
      </c>
      <c r="P15" s="90" t="str">
        <f ca="1">IF(OR(AND(K15&lt;0,O15&lt;0),AND(K15&gt;0,O15&lt;0)),-IFERROR(K15/O15-1,"-"),IFERROR(K15/O15-1,"-"))</f>
        <v>-</v>
      </c>
      <c r="Q15" s="126"/>
      <c r="R15" s="172">
        <f ca="1">IFERROR(SUMIFS(EMG_act!$C12:$CC12,EMG_act!$C$2:$CC$2,R$12,EMG_act!$C$3:$CC$3,$D$8),"-")</f>
        <v>0</v>
      </c>
      <c r="S15" s="172" t="str">
        <f ca="1">IFERROR(SUMIFS(EMG_bud!#REF!,EMG_bud!$C$2:$CC$2,S$12,EMG_bud!$C$3:$CC$3,$D$8),"-")</f>
        <v>-</v>
      </c>
      <c r="T15" s="90" t="str">
        <f ca="1">IF(OR(AND(R15&lt;0,S15&lt;0),AND(R15&gt;0,S15&lt;0)),-IFERROR(R15/S15-1,"-"),IFERROR(R15/S15-1,"-"))</f>
        <v>-</v>
      </c>
      <c r="U15" s="126"/>
      <c r="V15" s="172">
        <f ca="1">IFERROR(SUMIFS(EMG_act!$C12:$CC12,EMG_act!$C$2:$CC$2,V$12,EMG_act!$C$3:$CC$3,$D$8),"-")</f>
        <v>0</v>
      </c>
      <c r="W15" s="90" t="str">
        <f ca="1">IF(OR(AND(R15&lt;0,V15&lt;0),AND(R15&gt;0,V15&lt;0)),-IFERROR(R15/V15-1,"-"),IFERROR(R15/V15-1,"-"))</f>
        <v>-</v>
      </c>
      <c r="X15" s="51"/>
      <c r="AD15" s="153"/>
      <c r="AE15" s="153"/>
    </row>
    <row r="16" spans="2:34" ht="17.75" hidden="1" customHeight="1" outlineLevel="1" x14ac:dyDescent="0.35">
      <c r="B16" s="112"/>
      <c r="C16" s="63" t="s">
        <v>20</v>
      </c>
      <c r="D16" s="113"/>
      <c r="E16" s="113"/>
      <c r="F16" s="113"/>
      <c r="G16" s="172">
        <f ca="1">IFERROR(SUMIF(EMG_act!$C$2:$CI$2,G$12,EMG_act!$C13:$CI13),"-")</f>
        <v>0</v>
      </c>
      <c r="H16" s="172">
        <f ca="1">IFERROR(SUMIF(EMG_act!$C$2:$CI$2,H$12,EMG_act!$C13:$CI13),"-")</f>
        <v>0</v>
      </c>
      <c r="I16" s="170" t="str">
        <f ca="1">IFERROR(SUMIF(EMG_bud!$C$2:$CI$2,I$12,EMG_bud!#REF!),"-")</f>
        <v>-</v>
      </c>
      <c r="J16" s="126"/>
      <c r="K16" s="172">
        <f ca="1">IFERROR(SUMIFS(EMG_act!$C13:$CC13,EMG_act!$C$2:$CC$2,K$12,EMG_act!$C$3:$CC$3,"&lt;="&amp;$D$8),"-")</f>
        <v>0</v>
      </c>
      <c r="L16" s="172" t="str">
        <f ca="1">IFERROR(SUMIFS(EMG_bud!#REF!,EMG_bud!$C$2:$CC$2,L$12,EMG_bud!$C$3:$CC$3,"&lt;="&amp;$D$8),"-")</f>
        <v>-</v>
      </c>
      <c r="M16" s="90" t="str">
        <f t="shared" ref="M16:M18" ca="1" si="0">IF(OR(AND(K16&lt;0,L16&lt;0),AND(K16&gt;0,L16&lt;0)),-IFERROR(K16/L16-1,"-"),IFERROR(K16/L16-1,"-"))</f>
        <v>-</v>
      </c>
      <c r="N16" s="126"/>
      <c r="O16" s="172">
        <f ca="1">IFERROR(SUMIFS(EMG_act!$C13:$CC13,EMG_act!$C$2:$CC$2,O$12,EMG_act!$C$3:$CC$3,"&lt;="&amp;$D$8),"-")</f>
        <v>0</v>
      </c>
      <c r="P16" s="90" t="str">
        <f t="shared" ref="P16:P18" ca="1" si="1">IF(OR(AND(K16&lt;0,O16&lt;0),AND(K16&gt;0,O16&lt;0)),-IFERROR(K16/O16-1,"-"),IFERROR(K16/O16-1,"-"))</f>
        <v>-</v>
      </c>
      <c r="Q16" s="126"/>
      <c r="R16" s="172">
        <f ca="1">IFERROR(SUMIFS(EMG_act!$C13:$CC13,EMG_act!$C$2:$CC$2,R$12,EMG_act!$C$3:$CC$3,$D$8),"-")</f>
        <v>0</v>
      </c>
      <c r="S16" s="172" t="str">
        <f ca="1">IFERROR(SUMIFS(EMG_bud!#REF!,EMG_bud!$C$2:$CC$2,S$12,EMG_bud!$C$3:$CC$3,$D$8),"-")</f>
        <v>-</v>
      </c>
      <c r="T16" s="90" t="str">
        <f t="shared" ref="T16:T18" ca="1" si="2">IF(OR(AND(R16&lt;0,S16&lt;0),AND(R16&gt;0,S16&lt;0)),-IFERROR(R16/S16-1,"-"),IFERROR(R16/S16-1,"-"))</f>
        <v>-</v>
      </c>
      <c r="U16" s="126"/>
      <c r="V16" s="172">
        <f ca="1">IFERROR(SUMIFS(EMG_act!$C13:$CC13,EMG_act!$C$2:$CC$2,V$12,EMG_act!$C$3:$CC$3,$D$8),"-")</f>
        <v>0</v>
      </c>
      <c r="W16" s="90" t="str">
        <f t="shared" ref="W16:W18" ca="1" si="3">IF(OR(AND(R16&lt;0,V16&lt;0),AND(R16&gt;0,V16&lt;0)),-IFERROR(R16/V16-1,"-"),IFERROR(R16/V16-1,"-"))</f>
        <v>-</v>
      </c>
      <c r="X16" s="51"/>
      <c r="AD16" s="153"/>
      <c r="AE16" s="153"/>
    </row>
    <row r="17" spans="2:31" ht="17.75" hidden="1" customHeight="1" outlineLevel="1" x14ac:dyDescent="0.35">
      <c r="B17" s="112"/>
      <c r="C17" s="63" t="s">
        <v>21</v>
      </c>
      <c r="D17" s="113"/>
      <c r="E17" s="113"/>
      <c r="F17" s="113"/>
      <c r="G17" s="172">
        <f ca="1">IFERROR(SUMIF(EMG_act!$C$2:$CI$2,G$12,EMG_act!$C14:$CI14),"-")</f>
        <v>0</v>
      </c>
      <c r="H17" s="172">
        <f ca="1">IFERROR(SUMIF(EMG_act!$C$2:$CI$2,H$12,EMG_act!$C14:$CI14),"-")</f>
        <v>0</v>
      </c>
      <c r="I17" s="170" t="str">
        <f ca="1">IFERROR(SUMIF(EMG_bud!$C$2:$CI$2,I$12,EMG_bud!#REF!),"-")</f>
        <v>-</v>
      </c>
      <c r="J17" s="126"/>
      <c r="K17" s="172">
        <f ca="1">IFERROR(SUMIFS(EMG_act!$C14:$CC14,EMG_act!$C$2:$CC$2,K$12,EMG_act!$C$3:$CC$3,"&lt;="&amp;$D$8),"-")</f>
        <v>0</v>
      </c>
      <c r="L17" s="172" t="str">
        <f ca="1">IFERROR(SUMIFS(EMG_bud!#REF!,EMG_bud!$C$2:$CC$2,L$12,EMG_bud!$C$3:$CC$3,"&lt;="&amp;$D$8),"-")</f>
        <v>-</v>
      </c>
      <c r="M17" s="90" t="str">
        <f t="shared" ca="1" si="0"/>
        <v>-</v>
      </c>
      <c r="N17" s="126"/>
      <c r="O17" s="172">
        <f ca="1">IFERROR(SUMIFS(EMG_act!$C14:$CC14,EMG_act!$C$2:$CC$2,O$12,EMG_act!$C$3:$CC$3,"&lt;="&amp;$D$8),"-")</f>
        <v>0</v>
      </c>
      <c r="P17" s="90" t="str">
        <f t="shared" ca="1" si="1"/>
        <v>-</v>
      </c>
      <c r="Q17" s="126"/>
      <c r="R17" s="172">
        <f ca="1">IFERROR(SUMIFS(EMG_act!$C14:$CC14,EMG_act!$C$2:$CC$2,R$12,EMG_act!$C$3:$CC$3,$D$8),"-")</f>
        <v>0</v>
      </c>
      <c r="S17" s="172" t="str">
        <f ca="1">IFERROR(SUMIFS(EMG_bud!#REF!,EMG_bud!$C$2:$CC$2,S$12,EMG_bud!$C$3:$CC$3,$D$8),"-")</f>
        <v>-</v>
      </c>
      <c r="T17" s="90" t="str">
        <f t="shared" ca="1" si="2"/>
        <v>-</v>
      </c>
      <c r="U17" s="126"/>
      <c r="V17" s="172">
        <f ca="1">IFERROR(SUMIFS(EMG_act!$C14:$CC14,EMG_act!$C$2:$CC$2,V$12,EMG_act!$C$3:$CC$3,$D$8),"-")</f>
        <v>0</v>
      </c>
      <c r="W17" s="90" t="str">
        <f t="shared" ca="1" si="3"/>
        <v>-</v>
      </c>
      <c r="X17" s="51"/>
      <c r="AD17" s="153"/>
      <c r="AE17" s="153"/>
    </row>
    <row r="18" spans="2:31" ht="17.75" hidden="1" customHeight="1" outlineLevel="1" x14ac:dyDescent="0.35">
      <c r="B18" s="112"/>
      <c r="C18" s="63" t="s">
        <v>22</v>
      </c>
      <c r="D18" s="113"/>
      <c r="E18" s="113"/>
      <c r="F18" s="113"/>
      <c r="G18" s="172">
        <f ca="1">IFERROR(SUMIF(EMG_act!$C$2:$CI$2,G$12,EMG_act!$C15:$CI15),"-")</f>
        <v>0</v>
      </c>
      <c r="H18" s="172">
        <f ca="1">IFERROR(SUMIF(EMG_act!$C$2:$CI$2,H$12,EMG_act!$C15:$CI15),"-")</f>
        <v>0</v>
      </c>
      <c r="I18" s="170" t="str">
        <f ca="1">IFERROR(SUMIF(EMG_bud!$C$2:$CI$2,I$12,EMG_bud!#REF!),"-")</f>
        <v>-</v>
      </c>
      <c r="J18" s="126"/>
      <c r="K18" s="172">
        <f ca="1">IFERROR(SUMIFS(EMG_act!$C15:$CC15,EMG_act!$C$2:$CC$2,K$12,EMG_act!$C$3:$CC$3,"&lt;="&amp;$D$8),"-")</f>
        <v>0</v>
      </c>
      <c r="L18" s="172" t="str">
        <f ca="1">IFERROR(SUMIFS(EMG_bud!#REF!,EMG_bud!$C$2:$CC$2,L$12,EMG_bud!$C$3:$CC$3,"&lt;="&amp;$D$8),"-")</f>
        <v>-</v>
      </c>
      <c r="M18" s="90" t="str">
        <f t="shared" ca="1" si="0"/>
        <v>-</v>
      </c>
      <c r="N18" s="126"/>
      <c r="O18" s="172">
        <f ca="1">IFERROR(SUMIFS(EMG_act!$C15:$CC15,EMG_act!$C$2:$CC$2,O$12,EMG_act!$C$3:$CC$3,"&lt;="&amp;$D$8),"-")</f>
        <v>0</v>
      </c>
      <c r="P18" s="90" t="str">
        <f t="shared" ca="1" si="1"/>
        <v>-</v>
      </c>
      <c r="Q18" s="126"/>
      <c r="R18" s="172">
        <f ca="1">IFERROR(SUMIFS(EMG_act!$C15:$CC15,EMG_act!$C$2:$CC$2,R$12,EMG_act!$C$3:$CC$3,$D$8),"-")</f>
        <v>0</v>
      </c>
      <c r="S18" s="172" t="str">
        <f ca="1">IFERROR(SUMIFS(EMG_bud!#REF!,EMG_bud!$C$2:$CC$2,S$12,EMG_bud!$C$3:$CC$3,$D$8),"-")</f>
        <v>-</v>
      </c>
      <c r="T18" s="90" t="str">
        <f t="shared" ca="1" si="2"/>
        <v>-</v>
      </c>
      <c r="U18" s="126"/>
      <c r="V18" s="172">
        <f ca="1">IFERROR(SUMIFS(EMG_act!$C15:$CC15,EMG_act!$C$2:$CC$2,V$12,EMG_act!$C$3:$CC$3,$D$8),"-")</f>
        <v>0</v>
      </c>
      <c r="W18" s="90" t="str">
        <f t="shared" ca="1" si="3"/>
        <v>-</v>
      </c>
      <c r="X18" s="51"/>
      <c r="AD18" s="153"/>
      <c r="AE18" s="153"/>
    </row>
    <row r="19" spans="2:31" s="151" customFormat="1" ht="17.75" customHeight="1" x14ac:dyDescent="0.35">
      <c r="B19" s="114"/>
      <c r="C19" s="115" t="s">
        <v>23</v>
      </c>
      <c r="D19" s="115"/>
      <c r="E19" s="115"/>
      <c r="F19" s="116"/>
      <c r="G19" s="136">
        <f ca="1">IFERROR(SUMIF(EMG_act!$C$2:$CI$2,G$12,EMG_act!$C16:$CI16),"-")</f>
        <v>1058</v>
      </c>
      <c r="H19" s="136">
        <f ca="1">IFERROR(SUMIF(EMG_act!$C$2:$CI$2,H$12,EMG_act!$C16:$CI16),"-")</f>
        <v>1790</v>
      </c>
      <c r="I19" s="136">
        <f ca="1">IFERROR(SUMIF(EMG_bud!$C$2:$CI$2,I$12,EMG_bud!$C16:$CI16),"-")</f>
        <v>3703.6121355293772</v>
      </c>
      <c r="J19" s="139"/>
      <c r="K19" s="136">
        <f ca="1">IFERROR(SUMIFS(EMG_act!$C16:$CI16,EMG_act!$C$2:$CI$2,K$12,EMG_act!$C$3:$CI$3,"&lt;="&amp;$D$8),"-")</f>
        <v>98</v>
      </c>
      <c r="L19" s="136">
        <f ca="1">IFERROR(SUMIFS(EMG_bud!$C16:$CI16,EMG_bud!$C$2:$CI$2,L$12,EMG_bud!$C$3:$CI$3,"&lt;="&amp;$D$8),"-")</f>
        <v>98</v>
      </c>
      <c r="M19" s="135">
        <f ca="1">IF(OR(AND(K19&lt;0,L19&lt;0),AND(K19&gt;0,L19&lt;0)),-IFERROR(K19/L19-1,"-"),IFERROR(K19/L19-1,"-"))</f>
        <v>0</v>
      </c>
      <c r="N19" s="140"/>
      <c r="O19" s="136">
        <f ca="1">IFERROR(SUMIFS(EMG_act!$C16:$CI16,EMG_act!$C$2:$CI$2,O$12,EMG_act!$C$3:$CI$3,"&lt;="&amp;$D$8),"-")</f>
        <v>259</v>
      </c>
      <c r="P19" s="135">
        <f ca="1">IF(OR(AND(K19&lt;0,O19&lt;0),AND(K19&gt;0,O19&lt;0)),-IFERROR(K19/O19-1,"-"),IFERROR(K19/O19-1,"-"))</f>
        <v>-0.6216216216216216</v>
      </c>
      <c r="Q19" s="139"/>
      <c r="R19" s="136">
        <f ca="1">IFERROR(SUMIFS(EMG_act!$C16:$CI16,EMG_act!$C$2:$CI$2,R$12,EMG_act!$C$3:$CI$3,$D$8),"-")</f>
        <v>86</v>
      </c>
      <c r="S19" s="136">
        <f ca="1">IFERROR(SUMIFS(EMG_bud!$C16:$CI16,EMG_bud!$C$2:$CI$2,S$12,EMG_bud!$C$3:$CI$3,$D$8),"-")</f>
        <v>86</v>
      </c>
      <c r="T19" s="135">
        <f ca="1">IF(OR(AND(R19&lt;0,S19&lt;0),AND(R19&gt;0,S19&lt;0)),-IFERROR(R19/S19-1,"-"),IFERROR(R19/S19-1,"-"))</f>
        <v>0</v>
      </c>
      <c r="U19" s="140"/>
      <c r="V19" s="136">
        <f ca="1">IFERROR(SUMIFS(EMG_act!$C16:$CI16,EMG_act!$C$2:$CI$2,V$12,EMG_act!$C$3:$CI$3,$D$8),"-")</f>
        <v>74</v>
      </c>
      <c r="W19" s="135">
        <f ca="1">IF(OR(AND(R19&lt;0,V19&lt;0),AND(R19&gt;0,V19&lt;0)),-IFERROR(R19/V19-1,"-"),IFERROR(R19/V19-1,"-"))</f>
        <v>0.16216216216216206</v>
      </c>
      <c r="X19" s="58"/>
      <c r="Y19" s="156"/>
      <c r="AD19" s="152"/>
      <c r="AE19" s="152"/>
    </row>
    <row r="20" spans="2:31" ht="17.75" customHeight="1" x14ac:dyDescent="0.35">
      <c r="B20" s="112"/>
      <c r="C20" s="117" t="s">
        <v>24</v>
      </c>
      <c r="D20" s="117"/>
      <c r="E20" s="117"/>
      <c r="F20" s="117"/>
      <c r="G20" s="137">
        <f ca="1">IFERROR(SUMIF(EMG_act!$C$2:$CI$2,G$12,EMG_act!$C17:$CI17),"-")</f>
        <v>533</v>
      </c>
      <c r="H20" s="137">
        <f ca="1">IFERROR(SUMIF(EMG_act!$C$2:$CI$2,H$12,EMG_act!$C17:$CI17),"-")</f>
        <v>804</v>
      </c>
      <c r="I20" s="137">
        <f ca="1">IFERROR(SUMIF(EMG_bud!$C$2:$CI$2,I$12,EMG_bud!$C17:$CI17),"-")</f>
        <v>1454.914891812834</v>
      </c>
      <c r="J20" s="141"/>
      <c r="K20" s="137">
        <f ca="1">IFERROR(SUMIFS(EMG_act!$C17:$CI17,EMG_act!$C$2:$CI$2,K$12,EMG_act!$C$3:$CI$3,"&lt;="&amp;$D$8),"-")</f>
        <v>62</v>
      </c>
      <c r="L20" s="137">
        <f ca="1">IFERROR(SUMIFS(EMG_bud!$C17:$CI17,EMG_bud!$C$2:$CI$2,L$12,EMG_bud!$C$3:$CI$3,"&lt;="&amp;$D$8),"-")</f>
        <v>62</v>
      </c>
      <c r="M20" s="90">
        <f ca="1">IF(OR(AND(K20&lt;0,L20&lt;0),AND(K20&gt;0,L20&lt;0)),-IFERROR(K20/L20-1,"-"),IFERROR(K20/L20-1,"-"))</f>
        <v>0</v>
      </c>
      <c r="N20" s="142"/>
      <c r="O20" s="137">
        <f ca="1">IFERROR(SUMIFS(EMG_act!$C17:$CI17,EMG_act!$C$2:$CI$2,O$12,EMG_act!$C$3:$CI$3,"&lt;="&amp;$D$8),"-")</f>
        <v>171</v>
      </c>
      <c r="P20" s="90">
        <f ca="1">IF(OR(AND(K20&lt;0,O20&lt;0),AND(K20&gt;0,O20&lt;0)),-IFERROR(K20/O20-1,"-"),IFERROR(K20/O20-1,"-"))</f>
        <v>-0.63742690058479534</v>
      </c>
      <c r="Q20" s="141"/>
      <c r="R20" s="137">
        <f ca="1">IFERROR(SUMIFS(EMG_act!$C17:$CI17,EMG_act!$C$2:$CI$2,R$12,EMG_act!$C$3:$CI$3,$D$8),"-")</f>
        <v>17</v>
      </c>
      <c r="S20" s="137">
        <f ca="1">IFERROR(SUMIFS(EMG_bud!$C17:$CI17,EMG_bud!$C$2:$CI$2,S$12,EMG_bud!$C$3:$CI$3,$D$8),"-")</f>
        <v>17</v>
      </c>
      <c r="T20" s="90">
        <f ca="1">IF(OR(AND(R20&lt;0,S20&lt;0),AND(R20&gt;0,S20&lt;0)),-IFERROR(R20/S20-1,"-"),IFERROR(R20/S20-1,"-"))</f>
        <v>0</v>
      </c>
      <c r="U20" s="142"/>
      <c r="V20" s="137">
        <f ca="1">IFERROR(SUMIFS(EMG_act!$C17:$CI17,EMG_act!$C$2:$CI$2,V$12,EMG_act!$C$3:$CI$3,$D$8),"-")</f>
        <v>75</v>
      </c>
      <c r="W20" s="90">
        <f ca="1">IF(OR(AND(R20&lt;0,V20&lt;0),AND(R20&gt;0,V20&lt;0)),-IFERROR(R20/V20-1,"-"),IFERROR(R20/V20-1,"-"))</f>
        <v>-0.77333333333333332</v>
      </c>
      <c r="X20" s="52"/>
      <c r="Y20" s="156"/>
      <c r="AD20" s="153"/>
      <c r="AE20" s="153"/>
    </row>
    <row r="21" spans="2:31" ht="17.75" customHeight="1" x14ac:dyDescent="0.35">
      <c r="B21" s="112"/>
      <c r="C21" s="118" t="s">
        <v>25</v>
      </c>
      <c r="D21" s="118"/>
      <c r="E21" s="118"/>
      <c r="F21" s="118"/>
      <c r="G21" s="138">
        <f ca="1">IFERROR(G20/G$19,"-")</f>
        <v>0.50378071833648397</v>
      </c>
      <c r="H21" s="138">
        <f ca="1">IFERROR(H20/H$19,"-")</f>
        <v>0.44916201117318438</v>
      </c>
      <c r="I21" s="138">
        <f ca="1">IFERROR(I20/I$19,"-")</f>
        <v>0.39283673305192773</v>
      </c>
      <c r="J21" s="143"/>
      <c r="K21" s="138">
        <f ca="1">IFERROR(K20/K$19,"-")</f>
        <v>0.63265306122448983</v>
      </c>
      <c r="L21" s="138">
        <f ca="1">IFERROR(L20/L$19,"-")</f>
        <v>0.63265306122448983</v>
      </c>
      <c r="M21" s="144"/>
      <c r="N21" s="145"/>
      <c r="O21" s="138">
        <f ca="1">IFERROR(O20/O$19,"-")</f>
        <v>0.66023166023166024</v>
      </c>
      <c r="P21" s="138"/>
      <c r="Q21" s="143"/>
      <c r="R21" s="138">
        <f ca="1">IFERROR(R20/R$19,"-")</f>
        <v>0.19767441860465115</v>
      </c>
      <c r="S21" s="138">
        <f ca="1">IFERROR(S20/S$19,"-")</f>
        <v>0.19767441860465115</v>
      </c>
      <c r="T21" s="138"/>
      <c r="U21" s="145"/>
      <c r="V21" s="138">
        <f ca="1">IFERROR(V20/V$19,"-")</f>
        <v>1.0135135135135136</v>
      </c>
      <c r="W21" s="138"/>
      <c r="X21" s="52"/>
      <c r="Y21" s="156"/>
    </row>
    <row r="22" spans="2:31" s="151" customFormat="1" ht="17.75" customHeight="1" x14ac:dyDescent="0.35">
      <c r="B22" s="114"/>
      <c r="C22" s="115" t="s">
        <v>26</v>
      </c>
      <c r="D22" s="115"/>
      <c r="E22" s="115"/>
      <c r="F22" s="116"/>
      <c r="G22" s="136">
        <f ca="1">IFERROR(SUMIF(EMG_act!$C$2:$CI$2,G$12,EMG_act!$C29:$CI29),"-")</f>
        <v>307.57287287000003</v>
      </c>
      <c r="H22" s="136">
        <f ca="1">IFERROR(SUMIF(EMG_act!$C$2:$CI$2,H$12,EMG_act!$C29:$CI29),"-")</f>
        <v>325.92962884000002</v>
      </c>
      <c r="I22" s="136">
        <f ca="1">IFERROR(SUMIF(EMG_bud!$C$2:$CI$2,I$12,EMG_bud!$C29:$CI29),"-")</f>
        <v>456.20979214112094</v>
      </c>
      <c r="J22" s="139"/>
      <c r="K22" s="136">
        <f ca="1">IFERROR(SUMIFS(EMG_act!$C29:$CI29,EMG_act!$C$2:$CI$2,K$12,EMG_act!$C$3:$CI$3,"&lt;="&amp;$D$8),"-")</f>
        <v>-1.476238019689633</v>
      </c>
      <c r="L22" s="136">
        <f ca="1">IFERROR(SUMIFS(EMG_bud!$C29:$CI29,EMG_bud!$C$2:$CI$2,L$12,EMG_bud!$C$3:$CI$3,"&lt;="&amp;$D$8),"-")</f>
        <v>60</v>
      </c>
      <c r="M22" s="135">
        <f ca="1">IF(OR(AND(K22&lt;0,L22&lt;0),AND(K22&gt;0,L22&lt;0)),-IFERROR(K22/L22-1,"-"),IFERROR(K22/L22-1,"-"))</f>
        <v>-1.0246039669948273</v>
      </c>
      <c r="N22" s="140"/>
      <c r="O22" s="136">
        <f ca="1">IFERROR(SUMIFS(EMG_act!$C29:$CI29,EMG_act!$C$2:$CI$2,O$12,EMG_act!$C$3:$CI$3,"&lt;="&amp;$D$8),"-")</f>
        <v>40.144337520000001</v>
      </c>
      <c r="P22" s="135">
        <f ca="1">IF(OR(AND(K22&lt;0,O22&lt;0),AND(K22&gt;0,O22&lt;0)),-IFERROR(K22/O22-1,"-"),IFERROR(K22/O22-1,"-"))</f>
        <v>-1.0367732564761885</v>
      </c>
      <c r="Q22" s="139"/>
      <c r="R22" s="136">
        <f ca="1">IFERROR(SUMIFS(EMG_act!$C29:$CI29,EMG_act!$C$2:$CI$2,R$12,EMG_act!$C$3:$CI$3,$D$8),"-")</f>
        <v>-1.863925587800914</v>
      </c>
      <c r="S22" s="136">
        <f ca="1">IFERROR(SUMIFS(EMG_bud!$C29:$CI29,EMG_bud!$C$2:$CI$2,S$12,EMG_bud!$C$3:$CI$3,$D$8),"-")</f>
        <v>41</v>
      </c>
      <c r="T22" s="135">
        <f ca="1">IF(OR(AND(R22&lt;0,S22&lt;0),AND(R22&gt;0,S22&lt;0)),-IFERROR(R22/S22-1,"-"),IFERROR(R22/S22-1,"-"))</f>
        <v>-1.0454615997024612</v>
      </c>
      <c r="U22" s="140"/>
      <c r="V22" s="136">
        <f ca="1">IFERROR(SUMIFS(EMG_act!$C29:$CI29,EMG_act!$C$2:$CI$2,V$12,EMG_act!$C$3:$CI$3,$D$8),"-")</f>
        <v>3.0284652200000002</v>
      </c>
      <c r="W22" s="135">
        <f ca="1">IF(OR(AND(R22&lt;0,V22&lt;0),AND(R22&gt;0,V22&lt;0)),-IFERROR(R22/V22-1,"-"),IFERROR(R22/V22-1,"-"))</f>
        <v>-1.6154687118384388</v>
      </c>
      <c r="X22" s="58"/>
      <c r="Y22" s="156"/>
    </row>
    <row r="23" spans="2:31" ht="17.75" customHeight="1" x14ac:dyDescent="0.35">
      <c r="B23" s="112"/>
      <c r="C23" s="118" t="s">
        <v>25</v>
      </c>
      <c r="D23" s="118"/>
      <c r="E23" s="118"/>
      <c r="F23" s="118"/>
      <c r="G23" s="138">
        <f ca="1">IFERROR(G22/G$19,"-")</f>
        <v>0.29071160006616259</v>
      </c>
      <c r="H23" s="138">
        <f ca="1">IFERROR(H22/H$19,"-")</f>
        <v>0.18208359153072626</v>
      </c>
      <c r="I23" s="138">
        <f ca="1">IFERROR(I22/I$19,"-")</f>
        <v>0.12317968929970374</v>
      </c>
      <c r="J23" s="146"/>
      <c r="K23" s="138">
        <f ca="1">IFERROR(K22/K$19,"-")</f>
        <v>-1.5063653262139112E-2</v>
      </c>
      <c r="L23" s="138">
        <f ca="1">IFERROR(L22/L$19,"-")</f>
        <v>0.61224489795918369</v>
      </c>
      <c r="M23" s="138"/>
      <c r="N23" s="147"/>
      <c r="O23" s="138">
        <f ca="1">IFERROR(O22/O$19,"-")</f>
        <v>0.15499744216216216</v>
      </c>
      <c r="P23" s="138"/>
      <c r="Q23" s="146"/>
      <c r="R23" s="138">
        <f ca="1">IFERROR(R22/R$19,"-")</f>
        <v>-2.1673553346522257E-2</v>
      </c>
      <c r="S23" s="138">
        <f ca="1">IFERROR(S22/S$19,"-")</f>
        <v>0.47674418604651164</v>
      </c>
      <c r="T23" s="138"/>
      <c r="U23" s="147"/>
      <c r="V23" s="138">
        <f ca="1">IFERROR(V22/V$19,"-")</f>
        <v>4.0925205675675681E-2</v>
      </c>
      <c r="W23" s="138"/>
      <c r="X23" s="52"/>
      <c r="Y23" s="156"/>
      <c r="Z23" s="156"/>
    </row>
    <row r="24" spans="2:31" s="151" customFormat="1" ht="17.75" customHeight="1" x14ac:dyDescent="0.35">
      <c r="B24" s="114"/>
      <c r="C24" s="115" t="s">
        <v>27</v>
      </c>
      <c r="D24" s="115"/>
      <c r="E24" s="115"/>
      <c r="F24" s="116"/>
      <c r="G24" s="136">
        <f ca="1">IFERROR(SUMIF(EMG_act!$C$2:$CI$2,G$12,EMG_act!$C21:$CI21),"-")</f>
        <v>130</v>
      </c>
      <c r="H24" s="136">
        <f ca="1">IFERROR(SUMIF(EMG_act!$C$2:$CI$2,H$12,EMG_act!$C21:$CI21),"-")</f>
        <v>108</v>
      </c>
      <c r="I24" s="136">
        <f ca="1">IFERROR(SUMIF(EMG_bud!$C$2:$CI$2,I$12,EMG_bud!$C21:$CI21),"-")</f>
        <v>-105.25265482436595</v>
      </c>
      <c r="J24" s="139"/>
      <c r="K24" s="136">
        <f ca="1">IFERROR(SUMIFS(EMG_act!$C21:$CI21,EMG_act!$C$2:$CI$2,K$12,EMG_act!$C$3:$CI$3,"&lt;="&amp;$D$8),"-")</f>
        <v>19</v>
      </c>
      <c r="L24" s="136">
        <f ca="1">IFERROR(SUMIFS(EMG_bud!$C21:$CI21,EMG_bud!$C$2:$CI$2,L$12,EMG_bud!$C$3:$CI$3,"&lt;="&amp;$D$8),"-")</f>
        <v>19</v>
      </c>
      <c r="M24" s="135">
        <f ca="1">IF(OR(AND(K24&lt;0,L24&lt;0),AND(K24&gt;0,L24&lt;0)),-IFERROR(K24/L24-1,"-"),IFERROR(K24/L24-1,"-"))</f>
        <v>0</v>
      </c>
      <c r="N24" s="140"/>
      <c r="O24" s="136">
        <f ca="1">IFERROR(SUMIFS(EMG_act!$C21:$CI21,EMG_act!$C$2:$CI$2,O$12,EMG_act!$C$3:$CI$3,"&lt;="&amp;$D$8),"-")</f>
        <v>9</v>
      </c>
      <c r="P24" s="135">
        <f ca="1">IF(OR(AND(K24&lt;0,O24&lt;0),AND(K24&gt;0,O24&lt;0)),-IFERROR(K24/O24-1,"-"),IFERROR(K24/O24-1,"-"))</f>
        <v>1.1111111111111112</v>
      </c>
      <c r="Q24" s="139"/>
      <c r="R24" s="136">
        <f ca="1">IFERROR(SUMIFS(EMG_act!$C21:$CI21,EMG_act!$C$2:$CI$2,R$12,EMG_act!$C$3:$CI$3,$D$8),"-")</f>
        <v>9</v>
      </c>
      <c r="S24" s="136">
        <f ca="1">IFERROR(SUMIFS(EMG_bud!$C21:$CI21,EMG_bud!$C$2:$CI$2,S$12,EMG_bud!$C$3:$CI$3,$D$8),"-")</f>
        <v>9</v>
      </c>
      <c r="T24" s="135">
        <f ca="1">IF(OR(AND(R24&lt;0,S24&lt;0),AND(R24&gt;0,S24&lt;0)),-IFERROR(R24/S24-1,"-"),IFERROR(R24/S24-1,"-"))</f>
        <v>0</v>
      </c>
      <c r="U24" s="140"/>
      <c r="V24" s="136">
        <f ca="1">IFERROR(SUMIFS(EMG_act!$C21:$CI21,EMG_act!$C$2:$CI$2,V$12,EMG_act!$C$3:$CI$3,$D$8),"-")</f>
        <v>3</v>
      </c>
      <c r="W24" s="135">
        <f ca="1">IF(OR(AND(R24&lt;0,V24&lt;0),AND(R24&gt;0,V24&lt;0)),-IFERROR(R24/V24-1,"-"),IFERROR(R24/V24-1,"-"))</f>
        <v>2</v>
      </c>
      <c r="X24" s="58"/>
      <c r="Y24" s="156"/>
      <c r="Z24" s="156"/>
    </row>
    <row r="25" spans="2:31" s="151" customFormat="1" ht="17.75" customHeight="1" x14ac:dyDescent="0.35">
      <c r="B25" s="114"/>
      <c r="C25" s="115" t="s">
        <v>28</v>
      </c>
      <c r="D25" s="115"/>
      <c r="E25" s="115"/>
      <c r="F25" s="116"/>
      <c r="G25" s="136">
        <f ca="1">G22-G24</f>
        <v>177.57287287000003</v>
      </c>
      <c r="H25" s="136">
        <f ca="1">H22-H24</f>
        <v>217.92962884000002</v>
      </c>
      <c r="I25" s="136">
        <f ca="1">I22-I24</f>
        <v>561.46244696548683</v>
      </c>
      <c r="J25" s="139"/>
      <c r="K25" s="136">
        <f ca="1">K22-K24</f>
        <v>-20.476238019689632</v>
      </c>
      <c r="L25" s="136">
        <f ca="1">L22-L24</f>
        <v>41</v>
      </c>
      <c r="M25" s="135">
        <f ca="1">IF(OR(AND(K25&lt;0,L25&lt;0),AND(K25&gt;0,L25&lt;0)),-IFERROR(K25/L25-1,"-"),IFERROR(K25/L25-1,"-"))</f>
        <v>-1.4994204395046251</v>
      </c>
      <c r="N25" s="140"/>
      <c r="O25" s="136">
        <f ca="1">O22-O24</f>
        <v>31.144337520000001</v>
      </c>
      <c r="P25" s="135">
        <f ca="1">IF(OR(AND(K25&lt;0,O25&lt;0),AND(K25&gt;0,O25&lt;0)),-IFERROR(K25/O25-1,"-"),IFERROR(K25/O25-1,"-"))</f>
        <v>-1.6574626288499597</v>
      </c>
      <c r="Q25" s="139"/>
      <c r="R25" s="136">
        <f ca="1">R22-R24</f>
        <v>-10.863925587800914</v>
      </c>
      <c r="S25" s="136">
        <f ca="1">S22-S24</f>
        <v>32</v>
      </c>
      <c r="T25" s="135">
        <f ca="1">IF(OR(AND(R25&lt;0,S25&lt;0),AND(R25&gt;0,S25&lt;0)),-IFERROR(R25/S25-1,"-"),IFERROR(R25/S25-1,"-"))</f>
        <v>-1.3394976746187786</v>
      </c>
      <c r="U25" s="140"/>
      <c r="V25" s="136">
        <f ca="1">V22-V24</f>
        <v>2.846522000000018E-2</v>
      </c>
      <c r="W25" s="135">
        <f ca="1">IF(OR(AND(R25&lt;0,V25&lt;0),AND(R25&gt;0,V25&lt;0)),-IFERROR(R25/V25-1,"-"),IFERROR(R25/V25-1,"-"))</f>
        <v>-382.65612588979974</v>
      </c>
      <c r="X25" s="58"/>
      <c r="Y25" s="156"/>
      <c r="Z25" s="156"/>
    </row>
    <row r="26" spans="2:31" s="151" customFormat="1" ht="17.75" customHeight="1" x14ac:dyDescent="0.35">
      <c r="B26" s="114"/>
      <c r="C26" s="115" t="s">
        <v>59</v>
      </c>
      <c r="D26" s="115"/>
      <c r="E26" s="115"/>
      <c r="F26" s="116"/>
      <c r="G26" s="136">
        <f ca="1">IFERROR(SUMIFS(EMG_act!$C23:$CI23,EMG_act!$C$2:$CI$2,G$12,EMG_act!$C$3:$CI$3,12),"-")</f>
        <v>972</v>
      </c>
      <c r="H26" s="136">
        <f ca="1">IFERROR(SUMIFS(EMG_act!$C23:$CI23,EMG_act!$C$2:$CI$2,H$12,EMG_act!$C$3:$CI$3,12),"-")</f>
        <v>972</v>
      </c>
      <c r="I26" s="136">
        <f ca="1">IFERROR(SUMIFS(EMG_bud!$C23:$CI23,EMG_bud!$C$2:$CI$2,I$12,EMG_bud!$C$3:$CI$3,12),"-")</f>
        <v>905.96052599999996</v>
      </c>
      <c r="J26" s="139"/>
      <c r="K26" s="136">
        <f ca="1">IFERROR(SUMIFS(EMG_act!$C23:$CI23,EMG_act!$C$2:$CI$2,K$12,EMG_act!$C$3:$CI$3,$D$8),"-")</f>
        <v>972</v>
      </c>
      <c r="L26" s="136">
        <f ca="1">IFERROR(SUMIFS(EMG_bud!$C23:$CI23,EMG_bud!$C$2:$CI$2,L$12,EMG_bud!$C$3:$CI$3,$D$8),"-")</f>
        <v>972</v>
      </c>
      <c r="M26" s="135">
        <f ca="1">IF(OR(AND(K26&lt;0,L26&lt;0),AND(K26&gt;0,L26&lt;0)),-IFERROR(K26/L26-1,"-"),IFERROR(K26/L26-1,"-"))</f>
        <v>0</v>
      </c>
      <c r="N26" s="140"/>
      <c r="O26" s="136">
        <f ca="1">IFERROR(SUMIFS(EMG_act!$C23:$CI23,EMG_act!$C$2:$CI$2,O$12,EMG_act!$C$3:$CI$3,$D$8),"-")</f>
        <v>972</v>
      </c>
      <c r="P26" s="135">
        <f ca="1">IF(OR(AND(K26&lt;0,O26&lt;0),AND(K26&gt;0,O26&lt;0)),-IFERROR(K26/O26-1,"-"),IFERROR(K26/O26-1,"-"))</f>
        <v>0</v>
      </c>
      <c r="Q26" s="139"/>
      <c r="R26" s="136">
        <f ca="1">IFERROR(SUMIFS(EMG_act!$C23:$CI23,EMG_act!$C$2:$CI$2,R$12,EMG_act!$C$3:$CI$3,$D$8),"-")</f>
        <v>972</v>
      </c>
      <c r="S26" s="136">
        <f ca="1">IFERROR(SUMIFS(EMG_bud!$C23:$CI23,EMG_bud!$C$2:$CI$2,S$12,EMG_bud!$C$3:$CI$3,$D$8),"-")</f>
        <v>972</v>
      </c>
      <c r="T26" s="135">
        <f ca="1">IF(OR(AND(R26&lt;0,S26&lt;0),AND(R26&gt;0,S26&lt;0)),-IFERROR(R26/S26-1,"-"),IFERROR(R26/S26-1,"-"))</f>
        <v>0</v>
      </c>
      <c r="U26" s="140"/>
      <c r="V26" s="136">
        <f ca="1">IFERROR(SUMIFS(EMG_act!$C23:$CI23,EMG_act!$C$2:$CI$2,V$12,EMG_act!$C$3:$CI$3,$D$8),"-")</f>
        <v>972</v>
      </c>
      <c r="W26" s="135">
        <f ca="1">IF(OR(AND(R26&lt;0,V26&lt;0),AND(R26&gt;0,V26&lt;0)),-IFERROR(R26/V26-1,"-"),IFERROR(R26/V26-1,"-"))</f>
        <v>0</v>
      </c>
      <c r="X26" s="58"/>
      <c r="Y26" s="156"/>
      <c r="Z26" s="156"/>
    </row>
    <row r="27" spans="2:31" s="151" customFormat="1" ht="17.75" customHeight="1" x14ac:dyDescent="0.35">
      <c r="B27" s="1"/>
      <c r="C27" s="3" t="s">
        <v>50</v>
      </c>
      <c r="D27" s="3"/>
      <c r="E27" s="3"/>
      <c r="F27" s="4"/>
      <c r="G27" s="136">
        <f ca="1">IFERROR(SUMIFS(EMG_act!$C24:$CI24,EMG_act!$C$2:$CI$2,G$12,EMG_act!$C$3:$CI$3,12),"-")</f>
        <v>15</v>
      </c>
      <c r="H27" s="136">
        <f ca="1">IFERROR(SUMIFS(EMG_act!$C24:$CI24,EMG_act!$C$2:$CI$2,H$12,EMG_act!$C$3:$CI$3,12),"-")</f>
        <v>13</v>
      </c>
      <c r="I27" s="136">
        <f ca="1">IFERROR(SUMIFS(EMG_bud!$C24:$CI24,EMG_bud!$C$2:$CI$2,I$12,EMG_bud!$C$3:$CI$3,12),"-")</f>
        <v>64.034262099663025</v>
      </c>
      <c r="J27" s="139"/>
      <c r="K27" s="136">
        <f ca="1">IFERROR(SUMIFS(EMG_act!$C24:$CI24,EMG_act!$C$2:$CI$2,K$12,EMG_act!$C$3:$CI$3,$D$8),"-")</f>
        <v>79</v>
      </c>
      <c r="L27" s="136">
        <f ca="1">IFERROR(SUMIFS(EMG_bud!$C24:$CI24,EMG_bud!$C$2:$CI$2,L$12,EMG_bud!$C$3:$CI$3,$D$8),"-")</f>
        <v>79</v>
      </c>
      <c r="M27" s="135">
        <f ca="1">IF(OR(AND(K27&lt;0,L27&lt;0),AND(K27&gt;0,L27&lt;0)),-IFERROR(K27/L27-1,"-"),IFERROR(K27/L27-1,"-"))</f>
        <v>0</v>
      </c>
      <c r="N27" s="140"/>
      <c r="O27" s="136">
        <f ca="1">IFERROR(SUMIFS(EMG_act!$C24:$CI24,EMG_act!$C$2:$CI$2,O$12,EMG_act!$C$3:$CI$3,$D$8),"-")</f>
        <v>44</v>
      </c>
      <c r="P27" s="135">
        <f ca="1">IF(OR(AND(K27&lt;0,O27&lt;0),AND(K27&gt;0,O27&lt;0)),-IFERROR(K27/O27-1,"-"),IFERROR(K27/O27-1,"-"))</f>
        <v>0.79545454545454541</v>
      </c>
      <c r="Q27" s="139"/>
      <c r="R27" s="136">
        <f ca="1">IFERROR(SUMIFS(EMG_act!$C24:$CI24,EMG_act!$C$2:$CI$2,R$12,EMG_act!$C$3:$CI$3,$D$8),"-")</f>
        <v>79</v>
      </c>
      <c r="S27" s="136">
        <f ca="1">IFERROR(SUMIFS(EMG_bud!$C24:$CI24,EMG_bud!$C$2:$CI$2,S$12,EMG_bud!$C$3:$CI$3,$D$8),"-")</f>
        <v>79</v>
      </c>
      <c r="T27" s="135">
        <f ca="1">IF(OR(AND(R27&lt;0,S27&lt;0),AND(R27&gt;0,S27&lt;0)),-IFERROR(R27/S27-1,"-"),IFERROR(R27/S27-1,"-"))</f>
        <v>0</v>
      </c>
      <c r="U27" s="140"/>
      <c r="V27" s="136">
        <f ca="1">IFERROR(SUMIFS(EMG_act!$C24:$CI24,EMG_act!$C$2:$CI$2,V$12,EMG_act!$C$3:$CI$3,$D$8),"-")</f>
        <v>44</v>
      </c>
      <c r="W27" s="135">
        <f ca="1">IF(OR(AND(R27&lt;0,V27&lt;0),AND(R27&gt;0,V27&lt;0)),-IFERROR(R27/V27-1,"-"),IFERROR(R27/V27-1,"-"))</f>
        <v>0.79545454545454541</v>
      </c>
      <c r="X27" s="58"/>
      <c r="Y27" s="156"/>
      <c r="Z27" s="156"/>
    </row>
    <row r="28" spans="2:31" ht="17.75" customHeight="1" x14ac:dyDescent="0.35">
      <c r="B28" s="10"/>
      <c r="C28" s="53" t="s">
        <v>29</v>
      </c>
      <c r="D28" s="53"/>
      <c r="E28" s="53"/>
      <c r="F28" s="7"/>
      <c r="G28" s="54" cm="1">
        <f t="array" aca="1" ref="G28" ca="1">IFERROR(_xlfn.XLOOKUP(1,(EMG_act!$C$2:$CI$2=G$12)*(EMG_act!$C$3:$CI$3=12),EMG_act!$C$25:$CI$25),"n/a")</f>
        <v>3.1114577533126253</v>
      </c>
      <c r="H28" s="54" cm="1">
        <f t="array" aca="1" ref="H28" ca="1">IFERROR(_xlfn.XLOOKUP(1,(EMG_act!$C$2:$CI$2=H$12)*(EMG_act!$C$3:$CI$3=12),EMG_act!$C$25:$CI$25),"n/a")</f>
        <v>2.9423529349360762</v>
      </c>
      <c r="I28" s="54" cm="1">
        <f t="array" aca="1" ref="I28" ca="1">IFERROR(_xlfn.XLOOKUP(1,(EMG_bud!$C$2:$CI$2=I$12)*(EMG_bud!$C$3:$CI$3=12),EMG_bud!$C$25:$CI$25),"n/a")</f>
        <v>2.0759067805692362</v>
      </c>
      <c r="J28" s="6"/>
      <c r="K28" s="54" cm="1">
        <f t="array" aca="1" ref="K28" ca="1">IFERROR(_xlfn.XLOOKUP(1,(EMG_act!$C$2:$CI$2=K$12)*(EMG_act!$C$3:$CI$3=$D$8),EMG_act!$C$25:$CI$25),"n/a")</f>
        <v>3.1409481676151221</v>
      </c>
      <c r="L28" s="54" cm="1">
        <f t="array" aca="1" ref="L28" ca="1">IFERROR(_xlfn.XLOOKUP(1,(EMG_bud!$C$2:$CI$2=L$12)*(EMG_bud!$C$3:$CI$3=$D$8),EMG_bud!$C$25:$CI$25),"n/a")</f>
        <v>3.1409481676151221</v>
      </c>
      <c r="M28" s="55" cm="1">
        <f t="array" aca="1" ref="M28" ca="1">IF(AND(ISNUMBER(K28), ISNUMBER(L28)),
    _xlfn.IFS(
        AND(L28 &lt; 0, K28 &lt; 0, K28 &gt; L28), K28 / L28 - 1,
        AND(L28 &lt; 0, K28 &lt; 0, K28 &lt;= L28), -(K28 / L28 - 1),
        AND(L28 &lt; 0, K28 &gt; 0), -(K28 / L28 - 1),
        AND(L28 &gt; 0, K28 &gt; 0), -(K28 / L28 - 1),
        AND(L28 &gt; 0, K28 &lt; 0), -(K28 / L28 - 1)
    ),
    "-"
)</f>
        <v>0</v>
      </c>
      <c r="N28" s="8"/>
      <c r="O28" s="54" cm="1">
        <f t="array" aca="1" ref="O28" ca="1">IFERROR(_xlfn.XLOOKUP(1,(EMG_act!$C$2:$CI$2=O$12)*(EMG_act!$C$3:$CI$3=$D$8),EMG_act!$C$25:$CI$25),"n/a")</f>
        <v>2.7748259898518555</v>
      </c>
      <c r="P28" s="55" cm="1">
        <f t="array" aca="1" ref="P28" ca="1">IF(AND(ISNUMBER(K28), ISNUMBER(O28)),
    _xlfn.IFS(
        AND(O28 &lt; 0, K28 &lt; 0, K28 &gt; O28), K28 / O28 - 1,
        AND(O28 &lt; 0, K28 &lt; 0, K28 &lt;= O28), -(K28 / O28 - 1),
        AND(O28 &lt; 0, K28 &gt; 0), -(K28 / O28 - 1),
        AND(O28 &gt; 0, K28 &gt; 0), -(K28 / O28 - 1),
        AND(O28 &gt; 0, K28 &lt; 0), -(K28 / O28 - 1)
    ),
    "-"
)</f>
        <v>-0.13194419365475718</v>
      </c>
      <c r="Q28" s="6"/>
      <c r="R28" s="54" cm="1">
        <f t="array" aca="1" ref="R28" ca="1">IFERROR(_xlfn.XLOOKUP(1,(EMG_act!$C$2:$CI$2=R$12)*(EMG_act!$C$3:$CI$3=$D$8),EMG_act!$C$25:$CI$25),"n/a")</f>
        <v>3.1409481676151221</v>
      </c>
      <c r="S28" s="54" cm="1">
        <f t="array" aca="1" ref="S28" ca="1">IFERROR(_xlfn.XLOOKUP(1,(EMG_bud!$C$2:$CI$2=S$12)*(EMG_bud!$C$3:$CI$3=$D$8),EMG_bud!$C$25:$CI$25),"n/a")</f>
        <v>3.1409481676151221</v>
      </c>
      <c r="T28" s="55" cm="1">
        <f t="array" aca="1" ref="T28" ca="1">IF(AND(ISNUMBER(R28), ISNUMBER(S28)),
    _xlfn.IFS(
        AND(S28 &lt; 0, R28 &lt; 0, R28 &gt; S28), R28 / S28 - 1,
        AND(S28 &lt; 0, R28 &lt; 0, R28 &lt;= S28), -(R28 / S28 - 1),
        AND(S28 &lt; 0, R28 &gt; 0), -(R28 / S28 - 1),
        AND(S28 &gt; 0, R28 &gt; 0), -(R28 / S28 - 1),
        AND(S28 &gt; 0, R28 &lt; 0), -(R28 / S28 - 1)
    ),
    "-"
)</f>
        <v>0</v>
      </c>
      <c r="U28" s="8"/>
      <c r="V28" s="54" cm="1">
        <f t="array" aca="1" ref="V28" ca="1">IFERROR(_xlfn.XLOOKUP(1,(EMG_act!$C$2:$CI$2=V$12)*(EMG_act!$C$3:$CI$3=$D$8),EMG_act!$C$25:$CI$25),"n/a")</f>
        <v>2.7748259898518555</v>
      </c>
      <c r="W28" s="55" cm="1">
        <f t="array" aca="1" ref="W28" ca="1">IF(AND(ISNUMBER(R28), ISNUMBER(V28)),
    _xlfn.IFS(
        AND(V28 &lt; 0, R28 &lt; 0, R28 &gt; V28), R28 / V28 - 1,
        AND(V28 &lt; 0, R28 &lt; 0, R28 &lt;= V28), -(R28 / V28 - 1),
        AND(V28 &lt; 0, R28 &gt; 0), -(R28 / V28 - 1),
        AND(V28 &gt; 0, R28 &gt; 0), -(R28 / V28 - 1),
        AND(V28 &gt; 0, R28 &lt; 0), -(R28 / V28 - 1)
    ),
    "-"
)</f>
        <v>-0.13194419365475718</v>
      </c>
      <c r="X28" s="52"/>
      <c r="Y28" s="156"/>
      <c r="Z28" s="156"/>
    </row>
    <row r="29" spans="2:31" ht="17.75" hidden="1" customHeight="1" x14ac:dyDescent="0.35">
      <c r="B29" s="67"/>
      <c r="C29" s="91"/>
      <c r="D29" s="91"/>
      <c r="E29" s="91"/>
      <c r="F29" s="91"/>
      <c r="G29" s="92"/>
      <c r="H29" s="92"/>
      <c r="I29" s="92"/>
      <c r="J29" s="93"/>
      <c r="K29" s="92"/>
      <c r="L29" s="92"/>
      <c r="M29" s="94"/>
      <c r="N29" s="94"/>
      <c r="O29" s="92"/>
      <c r="P29" s="94"/>
      <c r="Q29" s="93"/>
      <c r="R29" s="92"/>
      <c r="S29" s="92"/>
      <c r="T29" s="94"/>
      <c r="U29" s="94"/>
      <c r="V29" s="92"/>
      <c r="W29" s="94"/>
      <c r="X29" s="68"/>
      <c r="Y29" s="156"/>
    </row>
    <row r="30" spans="2:31" s="151" customFormat="1" ht="18" hidden="1" customHeight="1" x14ac:dyDescent="0.35">
      <c r="B30" s="103"/>
      <c r="C30" s="78" t="s">
        <v>30</v>
      </c>
      <c r="D30" s="78"/>
      <c r="E30" s="78"/>
      <c r="F30" s="20"/>
      <c r="G30" s="200" t="s">
        <v>9</v>
      </c>
      <c r="H30" s="200"/>
      <c r="I30" s="200"/>
      <c r="J30" s="20"/>
      <c r="K30" s="78" t="s">
        <v>10</v>
      </c>
      <c r="L30" s="78"/>
      <c r="M30" s="62"/>
      <c r="N30" s="78"/>
      <c r="O30" s="78"/>
      <c r="P30" s="78"/>
      <c r="Q30" s="20"/>
      <c r="R30" s="78" t="s">
        <v>11</v>
      </c>
      <c r="S30" s="78"/>
      <c r="T30" s="78"/>
      <c r="U30" s="78"/>
      <c r="V30" s="78"/>
      <c r="W30" s="78"/>
      <c r="X30" s="104"/>
      <c r="Y30" s="161"/>
    </row>
    <row r="31" spans="2:31" s="162" customFormat="1" ht="14" hidden="1" customHeight="1" x14ac:dyDescent="0.4">
      <c r="B31" s="80"/>
      <c r="C31" s="83"/>
      <c r="D31" s="83"/>
      <c r="E31" s="83"/>
      <c r="F31" s="83"/>
      <c r="G31" s="83"/>
      <c r="H31" s="83"/>
      <c r="I31" s="83"/>
      <c r="J31" s="83"/>
      <c r="K31" s="83"/>
      <c r="L31" s="83"/>
      <c r="M31" s="83"/>
      <c r="N31" s="83"/>
      <c r="O31" s="83"/>
      <c r="P31" s="83"/>
      <c r="Q31" s="83"/>
      <c r="R31" s="83"/>
      <c r="S31" s="83"/>
      <c r="T31" s="83"/>
      <c r="U31" s="83"/>
      <c r="V31" s="83"/>
      <c r="W31" s="83"/>
      <c r="X31" s="81"/>
    </row>
    <row r="32" spans="2:31" s="21" customFormat="1" ht="14.25" hidden="1" customHeight="1" x14ac:dyDescent="0.35">
      <c r="B32" s="85"/>
      <c r="C32" s="79" t="s">
        <v>31</v>
      </c>
      <c r="D32" s="79"/>
      <c r="E32" s="84"/>
      <c r="F32" s="79"/>
      <c r="G32" s="90" t="str">
        <f ca="1">IFERROR(SUMIF(EMG_act!$C$2:$BA$2,G$12,EMG_act!$C61:$BA61)/SUMIF(EMG_act!$C$2:$BA$2,G$12,EMG_act!$C60:$BA60),"-")</f>
        <v>-</v>
      </c>
      <c r="H32" s="90" t="str">
        <f ca="1">IFERROR(SUMIF(EMG_act!$C$2:$BA$2,H$12,EMG_act!$C61:$BA61)/SUMIF(EMG_act!$C$2:$BA$2,H$12,EMG_act!$C60:$BA60),"-")</f>
        <v>-</v>
      </c>
      <c r="I32" s="90" t="str">
        <f ca="1">IFERROR(SUMIF(EMG_bud!$C$2:$BA$2,I$12,EMG_bud!$C61:$BA61)/SUMIF(EMG_bud!$C$2:$BA$2,I$12,EMG_bud!$C60:$BA60),"-")</f>
        <v>-</v>
      </c>
      <c r="J32" s="108"/>
      <c r="K32" s="90" t="str">
        <f ca="1">IFERROR(SUMIFS(EMG_act!$C61:$BA61,EMG_act!$C$2:$BA$2,K$12,EMG_act!$C$3:$BA$3,"&lt;="&amp;$D$8)/SUMIFS(EMG_act!$C60:$BA60,EMG_act!$C$2:$BA$2,K$12,EMG_act!$C$3:$BA$3,"&lt;="&amp;$D$8),"-")</f>
        <v>-</v>
      </c>
      <c r="L32" s="90" t="str">
        <f ca="1">IFERROR(SUMIFS(EMG_bud!$C61:$BA61,EMG_bud!$C$2:$BA$2,L$12,EMG_bud!$C$3:$BA$3,"&lt;="&amp;$D$8)/SUMIFS(EMG_bud!$C60:$BA60,EMG_bud!$C$2:$BA$2,L$12,EMG_bud!$C$3:$BA$3,"&lt;="&amp;$D$8),"-")</f>
        <v>-</v>
      </c>
      <c r="M32" s="123" t="str">
        <f ca="1">IF(OR(AND(K32&lt;0,L32&lt;0),AND(K32&gt;0,L32&lt;0)),-IFERROR(K32/L32-1,"-"),IFERROR(K32/L32-1,"-"))</f>
        <v>-</v>
      </c>
      <c r="N32" s="108"/>
      <c r="O32" s="90" t="str">
        <f ca="1">IFERROR(SUMIFS(EMG_act!$C61:$BA61,EMG_act!$C$2:$BA$2,O$12,EMG_act!$C$3:$BA$3,"&lt;="&amp;$D$8)/SUMIFS(EMG_act!$C60:$BA60,EMG_act!$C$2:$BA$2,O$12,EMG_act!$C$3:$BA$3,"&lt;="&amp;$D$8),"-")</f>
        <v>-</v>
      </c>
      <c r="P32" s="123" t="str">
        <f ca="1">IF(OR(AND(K32&lt;0,O32&lt;0),AND(K32&gt;0,O32&lt;0)),-IFERROR(K32/O32-1,"-"),IFERROR(K32/O32-1,"-"))</f>
        <v>-</v>
      </c>
      <c r="Q32" s="90"/>
      <c r="R32" s="90" t="str">
        <f ca="1">IFERROR(SUMIFS(EMG_act!$C61:$BA61,EMG_act!$C$2:$BA$2,R$12,EMG_act!$C$3:$BA$3,$D$8)/SUMIFS(EMG_act!$C60:$BA60,EMG_act!$C$2:$BA$2,R$12,EMG_act!$C$3:$BA$3,$D$8),"-")</f>
        <v>-</v>
      </c>
      <c r="S32" s="90" t="str">
        <f ca="1">IFERROR(SUMIFS(EMG_bud!$C61:$BA61,EMG_bud!$C$2:$BA$2,R$12,EMG_bud!$C$3:$BA$3,$D$8)/SUMIFS(EMG_bud!$C60:$BA60,EMG_bud!$C$2:$BA$2,R$12,EMG_bud!$C$3:$BA$3,$D$8),"-")</f>
        <v>-</v>
      </c>
      <c r="T32" s="106" t="str">
        <f ca="1">IF(OR(AND(R32&lt;0,S32&lt;0),AND(R32&gt;0,S32&lt;0)),-IFERROR(R32/S32-1,"-"),IFERROR(R32/S32-1,"-"))</f>
        <v>-</v>
      </c>
      <c r="U32" s="108"/>
      <c r="V32" s="90" t="str">
        <f ca="1">IFERROR(SUMIFS(EMG_act!$C61:$BA61,EMG_act!$C$2:$BA$2,V$12,EMG_act!$C$3:$BA$3,$D$8)/SUMIFS(EMG_act!$C60:$BA60,EMG_act!$C$2:$BA$2,V$12,EMG_act!$C$3:$BA$3,$D$8),"-")</f>
        <v>-</v>
      </c>
      <c r="W32" s="123" t="str">
        <f ca="1">IF(OR(AND(R32&lt;0,V32&lt;0),AND(R32&gt;0,V32&lt;0)),-IFERROR(R32/V32-1,"-"),IFERROR(R32/V32-1,"-"))</f>
        <v>-</v>
      </c>
      <c r="X32" s="82"/>
    </row>
    <row r="33" spans="2:24" s="21" customFormat="1" ht="14" hidden="1" customHeight="1" x14ac:dyDescent="0.35">
      <c r="B33" s="10"/>
      <c r="C33" s="79" t="s">
        <v>32</v>
      </c>
      <c r="D33" s="79"/>
      <c r="E33" s="79"/>
      <c r="F33" s="79"/>
      <c r="G33" s="89">
        <f ca="1">IFERROR(SUMIF(EMG_act!$C$2:$BA$2,G$12,EMG_act!$C66:$BA66),"-")</f>
        <v>0</v>
      </c>
      <c r="H33" s="89">
        <f ca="1">IFERROR(SUMIF(EMG_act!$C$2:$BA$2,H$12,EMG_act!$C66:$BA66),"-")</f>
        <v>0</v>
      </c>
      <c r="I33" s="89">
        <f ca="1">IFERROR(SUMIF(EMG_bud!$C$2:$BA$2,I$12,EMG_bud!$C66:$BA66),"-")</f>
        <v>0</v>
      </c>
      <c r="J33" s="79"/>
      <c r="K33" s="89">
        <f ca="1">IFERROR(SUMIFS(EMG_act!$C66:$BA66,EMG_act!$C$2:$BA$2,K$12,EMG_act!$C$3:$BA$3,"&lt;="&amp;$D$8),"-")</f>
        <v>0</v>
      </c>
      <c r="L33" s="89">
        <f ca="1">IFERROR(SUMIFS(EMG_bud!$C66:$BA66,EMG_bud!$C$2:$BA$2,L$12,EMG_bud!$C$3:$BA$3,"&lt;="&amp;$D$8),"-")</f>
        <v>0</v>
      </c>
      <c r="M33" s="123" t="str">
        <f ca="1">IF(OR(AND(K33&lt;0,L33&lt;0),AND(K33&gt;0,L33&lt;0)),-IFERROR(K33/L33-1,"-"),IFERROR(K33/L33-1,"-"))</f>
        <v>-</v>
      </c>
      <c r="N33" s="79"/>
      <c r="O33" s="89">
        <v>383</v>
      </c>
      <c r="P33" s="123">
        <f ca="1">IF(OR(AND(K33&lt;0,O33&lt;0),AND(K33&gt;0,O33&lt;0)),-IFERROR(K33/O33-1,"-"),IFERROR(K33/O33-1,"-"))</f>
        <v>-1</v>
      </c>
      <c r="Q33" s="79"/>
      <c r="R33" s="89">
        <f ca="1">IFERROR(SUMIFS(EMG_act!$C66:$BA66,EMG_act!$C$2:$BA$2,R$12,EMG_act!$C$3:$BA$3,$D$8),"-")</f>
        <v>0</v>
      </c>
      <c r="S33" s="90" t="str">
        <f>"-"</f>
        <v>-</v>
      </c>
      <c r="T33" s="109" t="str">
        <f>IF(OR(AND(O33&lt;0,S33&lt;0),AND(O33&gt;0,S33&lt;0)),-IFERROR(O33/S33-1,"-"),IFERROR(O33/S33-1,"-"))</f>
        <v>-</v>
      </c>
      <c r="U33" s="79"/>
      <c r="V33" s="89">
        <f ca="1">IFERROR(SUMIFS(EMG_act!$C66:$BA66,EMG_act!$C$2:$BA$2,V$12,EMG_act!$C$3:$BA$3,$D$8),"-")</f>
        <v>0</v>
      </c>
      <c r="W33" s="123" t="str">
        <f ca="1">IF(OR(AND(R33&lt;0,V33&lt;0),AND(R33&gt;0,V33&lt;0)),-IFERROR(R33/V33-1,"-"),IFERROR(R33/V33-1,"-"))</f>
        <v>-</v>
      </c>
      <c r="X33" s="51"/>
    </row>
    <row r="34" spans="2:24" s="21" customFormat="1" ht="5.55" customHeight="1" x14ac:dyDescent="0.35">
      <c r="B34" s="95"/>
      <c r="C34" s="131"/>
      <c r="D34" s="96"/>
      <c r="E34" s="96"/>
      <c r="F34" s="96"/>
      <c r="G34" s="97"/>
      <c r="H34" s="97"/>
      <c r="I34" s="96"/>
      <c r="J34" s="96"/>
      <c r="K34" s="96"/>
      <c r="L34" s="96"/>
      <c r="M34" s="96"/>
      <c r="N34" s="96"/>
      <c r="O34" s="96"/>
      <c r="P34" s="96"/>
      <c r="Q34" s="96"/>
      <c r="R34" s="96"/>
      <c r="S34" s="96"/>
      <c r="T34" s="96"/>
      <c r="U34" s="96"/>
      <c r="V34" s="96"/>
      <c r="W34" s="96"/>
      <c r="X34" s="98"/>
    </row>
    <row r="35" spans="2:24" x14ac:dyDescent="0.35">
      <c r="G35" s="157"/>
      <c r="H35" s="157"/>
      <c r="X35" s="149"/>
    </row>
    <row r="36" spans="2:24" x14ac:dyDescent="0.35">
      <c r="G36" s="157"/>
      <c r="H36" s="157"/>
      <c r="K36" s="163"/>
      <c r="X36" s="149"/>
    </row>
    <row r="37" spans="2:24" x14ac:dyDescent="0.35">
      <c r="G37" s="157"/>
      <c r="H37" s="157"/>
      <c r="P37" s="164"/>
      <c r="X37" s="149"/>
    </row>
    <row r="40" spans="2:24" x14ac:dyDescent="0.35">
      <c r="I40" s="165"/>
    </row>
    <row r="41" spans="2:24" x14ac:dyDescent="0.35">
      <c r="I41" s="165"/>
    </row>
    <row r="42" spans="2:24" x14ac:dyDescent="0.35">
      <c r="I42" s="165"/>
    </row>
    <row r="43" spans="2:24" x14ac:dyDescent="0.35">
      <c r="I43" s="165"/>
    </row>
    <row r="50" spans="3:11" x14ac:dyDescent="0.35">
      <c r="C50" s="149" t="s">
        <v>33</v>
      </c>
      <c r="D50" s="158" t="s">
        <v>34</v>
      </c>
    </row>
    <row r="52" spans="3:11" x14ac:dyDescent="0.35">
      <c r="C52" s="149" t="s">
        <v>35</v>
      </c>
      <c r="D52" s="159" t="s">
        <v>36</v>
      </c>
      <c r="E52" s="159" t="s">
        <v>37</v>
      </c>
    </row>
    <row r="53" spans="3:11" x14ac:dyDescent="0.35">
      <c r="C53" s="149" t="s">
        <v>34</v>
      </c>
      <c r="D53" s="149">
        <v>1</v>
      </c>
      <c r="E53" s="149">
        <f>IF(C53=$D$50,1,E64+1)</f>
        <v>1</v>
      </c>
      <c r="G53" s="149" t="str">
        <f>"E"&amp;ROW(G53)&amp;":"</f>
        <v>E53:</v>
      </c>
      <c r="H53" s="160" t="str">
        <f>"E"&amp;ROW(G53)+MATCH(12,E53:E64,0)-1</f>
        <v>E64</v>
      </c>
      <c r="I53" s="168"/>
      <c r="J53" s="160"/>
      <c r="K53" s="168" cm="1">
        <f t="array" aca="1" ref="K53:K64" ca="1">INDIRECT(G53&amp;H53)</f>
        <v>1</v>
      </c>
    </row>
    <row r="54" spans="3:11" x14ac:dyDescent="0.35">
      <c r="C54" s="149" t="s">
        <v>38</v>
      </c>
      <c r="D54" s="149">
        <v>2</v>
      </c>
      <c r="E54" s="149">
        <f t="shared" ref="E54:E64" si="4">IF(C54=$D$50,1,E53+1)</f>
        <v>2</v>
      </c>
      <c r="I54" s="160"/>
      <c r="J54" s="160"/>
      <c r="K54" s="168">
        <f ca="1"/>
        <v>2</v>
      </c>
    </row>
    <row r="55" spans="3:11" x14ac:dyDescent="0.35">
      <c r="C55" s="149" t="s">
        <v>39</v>
      </c>
      <c r="D55" s="149">
        <v>3</v>
      </c>
      <c r="E55" s="149">
        <f t="shared" si="4"/>
        <v>3</v>
      </c>
      <c r="I55" s="160"/>
      <c r="J55" s="160"/>
      <c r="K55" s="168">
        <f ca="1"/>
        <v>3</v>
      </c>
    </row>
    <row r="56" spans="3:11" x14ac:dyDescent="0.35">
      <c r="C56" s="149" t="s">
        <v>40</v>
      </c>
      <c r="D56" s="149">
        <v>4</v>
      </c>
      <c r="E56" s="149">
        <f t="shared" si="4"/>
        <v>4</v>
      </c>
      <c r="K56" s="149">
        <f ca="1"/>
        <v>4</v>
      </c>
    </row>
    <row r="57" spans="3:11" x14ac:dyDescent="0.35">
      <c r="C57" s="149" t="s">
        <v>41</v>
      </c>
      <c r="D57" s="149">
        <v>5</v>
      </c>
      <c r="E57" s="149">
        <f t="shared" si="4"/>
        <v>5</v>
      </c>
      <c r="K57" s="149">
        <f ca="1"/>
        <v>5</v>
      </c>
    </row>
    <row r="58" spans="3:11" x14ac:dyDescent="0.35">
      <c r="C58" s="149" t="s">
        <v>42</v>
      </c>
      <c r="D58" s="149">
        <v>6</v>
      </c>
      <c r="E58" s="149">
        <f t="shared" si="4"/>
        <v>6</v>
      </c>
      <c r="K58" s="149">
        <f ca="1"/>
        <v>6</v>
      </c>
    </row>
    <row r="59" spans="3:11" x14ac:dyDescent="0.35">
      <c r="C59" s="149" t="s">
        <v>6</v>
      </c>
      <c r="D59" s="149">
        <v>7</v>
      </c>
      <c r="E59" s="149">
        <f t="shared" si="4"/>
        <v>7</v>
      </c>
      <c r="K59" s="149">
        <f ca="1"/>
        <v>7</v>
      </c>
    </row>
    <row r="60" spans="3:11" x14ac:dyDescent="0.35">
      <c r="C60" s="149" t="s">
        <v>43</v>
      </c>
      <c r="D60" s="149">
        <v>8</v>
      </c>
      <c r="E60" s="149">
        <f t="shared" si="4"/>
        <v>8</v>
      </c>
      <c r="K60" s="149">
        <f ca="1"/>
        <v>8</v>
      </c>
    </row>
    <row r="61" spans="3:11" x14ac:dyDescent="0.35">
      <c r="C61" s="149" t="s">
        <v>44</v>
      </c>
      <c r="D61" s="149">
        <v>9</v>
      </c>
      <c r="E61" s="149">
        <f t="shared" si="4"/>
        <v>9</v>
      </c>
      <c r="K61" s="149">
        <f ca="1"/>
        <v>9</v>
      </c>
    </row>
    <row r="62" spans="3:11" x14ac:dyDescent="0.35">
      <c r="C62" s="149" t="s">
        <v>45</v>
      </c>
      <c r="D62" s="149">
        <v>10</v>
      </c>
      <c r="E62" s="149">
        <f t="shared" si="4"/>
        <v>10</v>
      </c>
      <c r="K62" s="149">
        <f ca="1"/>
        <v>10</v>
      </c>
    </row>
    <row r="63" spans="3:11" x14ac:dyDescent="0.35">
      <c r="C63" s="149" t="s">
        <v>46</v>
      </c>
      <c r="D63" s="149">
        <v>11</v>
      </c>
      <c r="E63" s="149">
        <f t="shared" si="4"/>
        <v>11</v>
      </c>
      <c r="K63" s="149">
        <f ca="1"/>
        <v>11</v>
      </c>
    </row>
    <row r="64" spans="3:11" x14ac:dyDescent="0.35">
      <c r="C64" s="149" t="s">
        <v>47</v>
      </c>
      <c r="D64" s="149">
        <v>12</v>
      </c>
      <c r="E64" s="149">
        <f t="shared" si="4"/>
        <v>12</v>
      </c>
      <c r="K64" s="149">
        <f ca="1"/>
        <v>12</v>
      </c>
    </row>
  </sheetData>
  <mergeCells count="2">
    <mergeCell ref="G10:I10"/>
    <mergeCell ref="G30:I30"/>
  </mergeCells>
  <dataValidations count="2">
    <dataValidation type="whole" allowBlank="1" showInputMessage="1" showErrorMessage="1" sqref="D6" xr:uid="{40AD5B72-39F0-4AA2-A0C7-23B153A122B1}">
      <formula1>2018</formula1>
      <formula2>2999</formula2>
    </dataValidation>
    <dataValidation type="list" allowBlank="1" showInputMessage="1" showErrorMessage="1" sqref="D50 D7" xr:uid="{DA000213-083E-4040-A329-5BFA76B6AE62}">
      <formula1>$C$53:$C$64</formula1>
    </dataValidation>
  </dataValidations>
  <pageMargins left="0.25" right="0.25" top="0.75" bottom="0.75" header="0.3" footer="0.3"/>
  <pageSetup paperSize="9" orientation="landscape" r:id="rId1"/>
  <ignoredErrors>
    <ignoredError sqref="J22 M22:N22 O22:Q22 T22:U22 K22:L22 G22:I22" 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8F48D-693F-4B4B-869D-DA87157C4389}">
  <sheetPr>
    <tabColor theme="0"/>
  </sheetPr>
  <dimension ref="A1"/>
  <sheetViews>
    <sheetView showGridLines="0" zoomScale="60" zoomScaleNormal="60" workbookViewId="0">
      <selection activeCell="K44" sqref="K44"/>
    </sheetView>
  </sheetViews>
  <sheetFormatPr defaultColWidth="8.6640625" defaultRowHeight="14.25" x14ac:dyDescent="0.4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46D4B-8032-4702-8118-85160C0CEAA4}">
  <dimension ref="B3:D5"/>
  <sheetViews>
    <sheetView showGridLines="0" zoomScale="67" workbookViewId="0"/>
  </sheetViews>
  <sheetFormatPr defaultColWidth="8.796875" defaultRowHeight="14.25" x14ac:dyDescent="0.45"/>
  <sheetData>
    <row r="3" spans="2:4" x14ac:dyDescent="0.45">
      <c r="B3" t="s">
        <v>51</v>
      </c>
    </row>
    <row r="4" spans="2:4" x14ac:dyDescent="0.45">
      <c r="B4">
        <v>2021</v>
      </c>
      <c r="C4">
        <v>2022</v>
      </c>
      <c r="D4">
        <v>2023</v>
      </c>
    </row>
    <row r="5" spans="2:4" ht="15.4" x14ac:dyDescent="0.45">
      <c r="B5" s="119">
        <v>25.645</v>
      </c>
      <c r="C5" s="119">
        <v>24.565000000000001</v>
      </c>
      <c r="D5" s="119">
        <v>24.164999999999999</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7A943-F48B-46F9-8046-E880DFCA41C5}">
  <sheetPr>
    <tabColor rgb="FF0070C0"/>
    <outlinePr summaryBelow="0" summaryRight="0"/>
  </sheetPr>
  <dimension ref="B2:CH76"/>
  <sheetViews>
    <sheetView showGridLines="0" zoomScaleNormal="100" workbookViewId="0">
      <pane xSplit="2" ySplit="11" topLeftCell="C15" activePane="bottomRight" state="frozen"/>
      <selection pane="topRight" activeCell="BJ56" sqref="A56:XFD56"/>
      <selection pane="bottomLeft" activeCell="BJ56" sqref="A56:XFD56"/>
      <selection pane="bottomRight" activeCell="C16" sqref="C16:BX25"/>
    </sheetView>
  </sheetViews>
  <sheetFormatPr defaultColWidth="8.6640625" defaultRowHeight="12.75" outlineLevelRow="2" outlineLevelCol="1" x14ac:dyDescent="0.35"/>
  <cols>
    <col min="1" max="1" width="2.6640625" style="21" customWidth="1"/>
    <col min="2" max="2" width="49.33203125" style="21" customWidth="1"/>
    <col min="3" max="38" width="10.6640625" style="21" customWidth="1" outlineLevel="1"/>
    <col min="39" max="46" width="10.796875" style="21" customWidth="1" outlineLevel="1"/>
    <col min="47" max="47" width="11.46484375" style="21" customWidth="1" outlineLevel="1"/>
    <col min="48" max="48" width="11.1328125" style="21" customWidth="1" outlineLevel="1"/>
    <col min="49" max="49" width="11.46484375" style="21" customWidth="1" outlineLevel="1"/>
    <col min="50" max="50" width="11.33203125" style="21" customWidth="1" outlineLevel="1"/>
    <col min="51" max="51" width="12.33203125" style="21" customWidth="1"/>
    <col min="52" max="52" width="10.796875" style="21" customWidth="1"/>
    <col min="53" max="61" width="8.796875" style="21" customWidth="1"/>
    <col min="62" max="67" width="8.796875" style="21" bestFit="1" customWidth="1"/>
    <col min="68" max="71" width="9.1328125" style="21" bestFit="1" customWidth="1"/>
    <col min="72" max="16384" width="8.6640625" style="21"/>
  </cols>
  <sheetData>
    <row r="2" spans="2:86" outlineLevel="1" x14ac:dyDescent="0.35">
      <c r="B2" s="22" t="s">
        <v>52</v>
      </c>
      <c r="C2" s="23">
        <f>C10</f>
        <v>20</v>
      </c>
      <c r="D2" s="23">
        <f>C10</f>
        <v>20</v>
      </c>
      <c r="E2" s="23">
        <f>C10</f>
        <v>20</v>
      </c>
      <c r="F2" s="23">
        <f>C10</f>
        <v>20</v>
      </c>
      <c r="G2" s="23">
        <f>C10</f>
        <v>20</v>
      </c>
      <c r="H2" s="23">
        <f>C10</f>
        <v>20</v>
      </c>
      <c r="I2" s="23">
        <f>C10</f>
        <v>20</v>
      </c>
      <c r="J2" s="23">
        <f>C10</f>
        <v>20</v>
      </c>
      <c r="K2" s="23">
        <f>C10</f>
        <v>20</v>
      </c>
      <c r="L2" s="23">
        <f>C10</f>
        <v>20</v>
      </c>
      <c r="M2" s="23">
        <f>C10</f>
        <v>20</v>
      </c>
      <c r="N2" s="23">
        <f>C10</f>
        <v>20</v>
      </c>
      <c r="O2" s="23">
        <f>O10</f>
        <v>21</v>
      </c>
      <c r="P2" s="23">
        <f>O10</f>
        <v>21</v>
      </c>
      <c r="Q2" s="23">
        <f>O10</f>
        <v>21</v>
      </c>
      <c r="R2" s="23">
        <f>O10</f>
        <v>21</v>
      </c>
      <c r="S2" s="23">
        <f>O10</f>
        <v>21</v>
      </c>
      <c r="T2" s="23">
        <f>O10</f>
        <v>21</v>
      </c>
      <c r="U2" s="23">
        <f>O10</f>
        <v>21</v>
      </c>
      <c r="V2" s="23">
        <f>O10</f>
        <v>21</v>
      </c>
      <c r="W2" s="23">
        <f>O10</f>
        <v>21</v>
      </c>
      <c r="X2" s="23">
        <f>O10</f>
        <v>21</v>
      </c>
      <c r="Y2" s="23">
        <f>O10</f>
        <v>21</v>
      </c>
      <c r="Z2" s="23">
        <f>O10</f>
        <v>21</v>
      </c>
      <c r="AA2" s="23">
        <f>AA10</f>
        <v>22</v>
      </c>
      <c r="AB2" s="23">
        <f>AA10</f>
        <v>22</v>
      </c>
      <c r="AC2" s="23">
        <f>AA10</f>
        <v>22</v>
      </c>
      <c r="AD2" s="23">
        <f>AA10</f>
        <v>22</v>
      </c>
      <c r="AE2" s="23">
        <f>AA10</f>
        <v>22</v>
      </c>
      <c r="AF2" s="23">
        <f>AA10</f>
        <v>22</v>
      </c>
      <c r="AG2" s="23">
        <f>AA10</f>
        <v>22</v>
      </c>
      <c r="AH2" s="23">
        <f>AA10</f>
        <v>22</v>
      </c>
      <c r="AI2" s="23">
        <f>AA10</f>
        <v>22</v>
      </c>
      <c r="AJ2" s="23">
        <f>AA10</f>
        <v>22</v>
      </c>
      <c r="AK2" s="23">
        <f>AA10</f>
        <v>22</v>
      </c>
      <c r="AL2" s="23">
        <f>AA10</f>
        <v>22</v>
      </c>
      <c r="AM2" s="23">
        <f>AM10</f>
        <v>23</v>
      </c>
      <c r="AN2" s="23">
        <f>AM2</f>
        <v>23</v>
      </c>
      <c r="AO2" s="23">
        <f t="shared" ref="AO2:AX2" si="0">AN2</f>
        <v>23</v>
      </c>
      <c r="AP2" s="23">
        <f t="shared" si="0"/>
        <v>23</v>
      </c>
      <c r="AQ2" s="23">
        <f t="shared" si="0"/>
        <v>23</v>
      </c>
      <c r="AR2" s="23">
        <f t="shared" si="0"/>
        <v>23</v>
      </c>
      <c r="AS2" s="23">
        <f t="shared" si="0"/>
        <v>23</v>
      </c>
      <c r="AT2" s="23">
        <f t="shared" si="0"/>
        <v>23</v>
      </c>
      <c r="AU2" s="23">
        <f t="shared" si="0"/>
        <v>23</v>
      </c>
      <c r="AV2" s="23">
        <f t="shared" si="0"/>
        <v>23</v>
      </c>
      <c r="AW2" s="23">
        <f t="shared" si="0"/>
        <v>23</v>
      </c>
      <c r="AX2" s="23">
        <f t="shared" si="0"/>
        <v>23</v>
      </c>
      <c r="AY2" s="23">
        <f>AY10</f>
        <v>24</v>
      </c>
      <c r="AZ2" s="23">
        <f>AY2</f>
        <v>24</v>
      </c>
      <c r="BA2" s="23">
        <f t="shared" ref="BA2" si="1">AZ2</f>
        <v>24</v>
      </c>
      <c r="BB2" s="23">
        <f t="shared" ref="BB2" si="2">BA2</f>
        <v>24</v>
      </c>
      <c r="BC2" s="23">
        <f t="shared" ref="BC2" si="3">BB2</f>
        <v>24</v>
      </c>
      <c r="BD2" s="23">
        <f t="shared" ref="BD2" si="4">BC2</f>
        <v>24</v>
      </c>
      <c r="BE2" s="23">
        <f t="shared" ref="BE2" si="5">BD2</f>
        <v>24</v>
      </c>
      <c r="BF2" s="23">
        <f t="shared" ref="BF2" si="6">BE2</f>
        <v>24</v>
      </c>
      <c r="BG2" s="23">
        <f t="shared" ref="BG2" si="7">BF2</f>
        <v>24</v>
      </c>
      <c r="BH2" s="23">
        <f t="shared" ref="BH2" si="8">BG2</f>
        <v>24</v>
      </c>
      <c r="BI2" s="23">
        <f t="shared" ref="BI2" si="9">BH2</f>
        <v>24</v>
      </c>
      <c r="BJ2" s="23">
        <f t="shared" ref="BJ2" si="10">BI2</f>
        <v>24</v>
      </c>
      <c r="BK2" s="23">
        <f>BK10</f>
        <v>25</v>
      </c>
      <c r="BL2" s="23">
        <f>BK2</f>
        <v>25</v>
      </c>
      <c r="BM2" s="23">
        <f t="shared" ref="BM2" si="11">BL2</f>
        <v>25</v>
      </c>
      <c r="BN2" s="23">
        <f t="shared" ref="BN2" si="12">BM2</f>
        <v>25</v>
      </c>
      <c r="BO2" s="23">
        <f t="shared" ref="BO2" si="13">BN2</f>
        <v>25</v>
      </c>
      <c r="BP2" s="23">
        <f t="shared" ref="BP2" si="14">BO2</f>
        <v>25</v>
      </c>
      <c r="BQ2" s="23">
        <f t="shared" ref="BQ2" si="15">BP2</f>
        <v>25</v>
      </c>
      <c r="BR2" s="23">
        <f t="shared" ref="BR2" si="16">BQ2</f>
        <v>25</v>
      </c>
      <c r="BS2" s="23">
        <f t="shared" ref="BS2" si="17">BR2</f>
        <v>25</v>
      </c>
      <c r="BT2" s="23">
        <f t="shared" ref="BT2" si="18">BS2</f>
        <v>25</v>
      </c>
      <c r="BU2" s="23">
        <f t="shared" ref="BU2" si="19">BT2</f>
        <v>25</v>
      </c>
      <c r="BV2" s="23">
        <f t="shared" ref="BV2" si="20">BU2</f>
        <v>25</v>
      </c>
      <c r="BW2" s="132">
        <f>BW10</f>
        <v>26</v>
      </c>
      <c r="BX2" s="23">
        <f t="shared" ref="BX2" si="21">BW2</f>
        <v>26</v>
      </c>
      <c r="BY2" s="23">
        <f t="shared" ref="BY2" si="22">BX2</f>
        <v>26</v>
      </c>
      <c r="BZ2" s="23">
        <f t="shared" ref="BZ2" si="23">BY2</f>
        <v>26</v>
      </c>
      <c r="CA2" s="23">
        <f t="shared" ref="CA2" si="24">BZ2</f>
        <v>26</v>
      </c>
      <c r="CB2" s="23">
        <f t="shared" ref="CB2" si="25">CA2</f>
        <v>26</v>
      </c>
      <c r="CC2" s="23">
        <f t="shared" ref="CC2" si="26">CB2</f>
        <v>26</v>
      </c>
      <c r="CD2" s="23">
        <f t="shared" ref="CD2" si="27">CC2</f>
        <v>26</v>
      </c>
      <c r="CE2" s="23">
        <f t="shared" ref="CE2" si="28">CD2</f>
        <v>26</v>
      </c>
      <c r="CF2" s="23">
        <f t="shared" ref="CF2" si="29">CE2</f>
        <v>26</v>
      </c>
      <c r="CG2" s="23">
        <f t="shared" ref="CG2" si="30">CF2</f>
        <v>26</v>
      </c>
      <c r="CH2" s="23">
        <f t="shared" ref="CH2" si="31">CG2</f>
        <v>26</v>
      </c>
    </row>
    <row r="3" spans="2:86" outlineLevel="1" x14ac:dyDescent="0.35">
      <c r="B3" s="22" t="s">
        <v>49</v>
      </c>
      <c r="C3" s="22">
        <v>1</v>
      </c>
      <c r="D3" s="22">
        <v>2</v>
      </c>
      <c r="E3" s="22">
        <v>3</v>
      </c>
      <c r="F3" s="22">
        <v>4</v>
      </c>
      <c r="G3" s="22">
        <v>5</v>
      </c>
      <c r="H3" s="22">
        <v>6</v>
      </c>
      <c r="I3" s="22">
        <v>7</v>
      </c>
      <c r="J3" s="22">
        <v>8</v>
      </c>
      <c r="K3" s="22">
        <v>9</v>
      </c>
      <c r="L3" s="22">
        <v>10</v>
      </c>
      <c r="M3" s="22">
        <v>11</v>
      </c>
      <c r="N3" s="22">
        <v>12</v>
      </c>
      <c r="O3" s="22">
        <v>1</v>
      </c>
      <c r="P3" s="22">
        <v>2</v>
      </c>
      <c r="Q3" s="22">
        <v>3</v>
      </c>
      <c r="R3" s="22">
        <v>4</v>
      </c>
      <c r="S3" s="22">
        <v>5</v>
      </c>
      <c r="T3" s="22">
        <v>6</v>
      </c>
      <c r="U3" s="22">
        <v>7</v>
      </c>
      <c r="V3" s="22">
        <v>8</v>
      </c>
      <c r="W3" s="22">
        <v>9</v>
      </c>
      <c r="X3" s="22">
        <v>10</v>
      </c>
      <c r="Y3" s="22">
        <v>11</v>
      </c>
      <c r="Z3" s="22">
        <v>12</v>
      </c>
      <c r="AA3" s="22">
        <v>1</v>
      </c>
      <c r="AB3" s="22">
        <v>2</v>
      </c>
      <c r="AC3" s="22">
        <v>3</v>
      </c>
      <c r="AD3" s="22">
        <v>4</v>
      </c>
      <c r="AE3" s="22">
        <v>5</v>
      </c>
      <c r="AF3" s="22">
        <v>6</v>
      </c>
      <c r="AG3" s="22">
        <v>7</v>
      </c>
      <c r="AH3" s="22">
        <v>8</v>
      </c>
      <c r="AI3" s="22">
        <v>9</v>
      </c>
      <c r="AJ3" s="22">
        <v>10</v>
      </c>
      <c r="AK3" s="22">
        <v>11</v>
      </c>
      <c r="AL3" s="22">
        <v>12</v>
      </c>
      <c r="AM3" s="22">
        <v>1</v>
      </c>
      <c r="AN3" s="22">
        <v>2</v>
      </c>
      <c r="AO3" s="22">
        <v>3</v>
      </c>
      <c r="AP3" s="22">
        <v>4</v>
      </c>
      <c r="AQ3" s="22">
        <v>5</v>
      </c>
      <c r="AR3" s="22">
        <v>6</v>
      </c>
      <c r="AS3" s="22">
        <v>7</v>
      </c>
      <c r="AT3" s="22">
        <v>8</v>
      </c>
      <c r="AU3" s="22">
        <v>9</v>
      </c>
      <c r="AV3" s="22">
        <v>10</v>
      </c>
      <c r="AW3" s="22">
        <v>11</v>
      </c>
      <c r="AX3" s="22">
        <v>12</v>
      </c>
      <c r="AY3" s="22">
        <v>1</v>
      </c>
      <c r="AZ3" s="22">
        <v>2</v>
      </c>
      <c r="BA3" s="22">
        <v>3</v>
      </c>
      <c r="BB3" s="22">
        <v>4</v>
      </c>
      <c r="BC3" s="22">
        <v>5</v>
      </c>
      <c r="BD3" s="22">
        <v>6</v>
      </c>
      <c r="BE3" s="22">
        <v>7</v>
      </c>
      <c r="BF3" s="22">
        <v>8</v>
      </c>
      <c r="BG3" s="22">
        <v>9</v>
      </c>
      <c r="BH3" s="22">
        <v>10</v>
      </c>
      <c r="BI3" s="22">
        <v>11</v>
      </c>
      <c r="BJ3" s="22">
        <v>12</v>
      </c>
      <c r="BK3" s="22">
        <v>1</v>
      </c>
      <c r="BL3" s="22">
        <v>2</v>
      </c>
      <c r="BM3" s="22">
        <v>3</v>
      </c>
      <c r="BN3" s="22">
        <v>4</v>
      </c>
      <c r="BO3" s="22">
        <v>5</v>
      </c>
      <c r="BP3" s="22">
        <v>6</v>
      </c>
      <c r="BQ3" s="22">
        <v>7</v>
      </c>
      <c r="BR3" s="22">
        <v>8</v>
      </c>
      <c r="BS3" s="22">
        <v>9</v>
      </c>
      <c r="BT3" s="22">
        <v>10</v>
      </c>
      <c r="BU3" s="22">
        <v>11</v>
      </c>
      <c r="BV3" s="22">
        <v>12</v>
      </c>
      <c r="BW3" s="22">
        <v>1</v>
      </c>
      <c r="BX3" s="22">
        <v>2</v>
      </c>
      <c r="BY3" s="22">
        <v>3</v>
      </c>
      <c r="BZ3" s="22">
        <v>4</v>
      </c>
      <c r="CA3" s="22">
        <v>5</v>
      </c>
      <c r="CB3" s="22">
        <v>6</v>
      </c>
      <c r="CC3" s="22">
        <v>7</v>
      </c>
      <c r="CD3" s="22">
        <v>8</v>
      </c>
      <c r="CE3" s="22">
        <v>9</v>
      </c>
      <c r="CF3" s="22">
        <v>10</v>
      </c>
      <c r="CG3" s="22">
        <v>11</v>
      </c>
      <c r="CH3" s="22">
        <v>12</v>
      </c>
    </row>
    <row r="4" spans="2:86" outlineLevel="1" x14ac:dyDescent="0.35">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row>
    <row r="5" spans="2:86" outlineLevel="1" x14ac:dyDescent="0.35">
      <c r="B5" s="22" t="s">
        <v>53</v>
      </c>
      <c r="C5" s="22">
        <v>2020</v>
      </c>
      <c r="D5" s="22">
        <f>IF(C6&lt;D6,C5,C5+1)</f>
        <v>2020</v>
      </c>
      <c r="E5" s="22">
        <f t="shared" ref="E5:N5" si="32">IF(D6&lt;E6,D5,D5+1)</f>
        <v>2020</v>
      </c>
      <c r="F5" s="22">
        <f t="shared" si="32"/>
        <v>2020</v>
      </c>
      <c r="G5" s="22">
        <f t="shared" si="32"/>
        <v>2020</v>
      </c>
      <c r="H5" s="22">
        <f t="shared" si="32"/>
        <v>2020</v>
      </c>
      <c r="I5" s="22">
        <f t="shared" si="32"/>
        <v>2020</v>
      </c>
      <c r="J5" s="22">
        <f t="shared" si="32"/>
        <v>2020</v>
      </c>
      <c r="K5" s="22">
        <f t="shared" si="32"/>
        <v>2020</v>
      </c>
      <c r="L5" s="22">
        <f t="shared" si="32"/>
        <v>2020</v>
      </c>
      <c r="M5" s="22">
        <f t="shared" si="32"/>
        <v>2020</v>
      </c>
      <c r="N5" s="22">
        <f t="shared" si="32"/>
        <v>2020</v>
      </c>
      <c r="O5" s="22">
        <f t="shared" ref="O5" si="33">IF(N6&lt;O6,N5,N5+1)</f>
        <v>2021</v>
      </c>
      <c r="P5" s="22">
        <f t="shared" ref="P5" si="34">IF(O6&lt;P6,O5,O5+1)</f>
        <v>2021</v>
      </c>
      <c r="Q5" s="22">
        <f t="shared" ref="Q5" si="35">IF(P6&lt;Q6,P5,P5+1)</f>
        <v>2021</v>
      </c>
      <c r="R5" s="22">
        <f t="shared" ref="R5" si="36">IF(Q6&lt;R6,Q5,Q5+1)</f>
        <v>2021</v>
      </c>
      <c r="S5" s="22">
        <f t="shared" ref="S5" si="37">IF(R6&lt;S6,R5,R5+1)</f>
        <v>2021</v>
      </c>
      <c r="T5" s="22">
        <f t="shared" ref="T5" si="38">IF(S6&lt;T6,S5,S5+1)</f>
        <v>2021</v>
      </c>
      <c r="U5" s="22">
        <f t="shared" ref="U5" si="39">IF(T6&lt;U6,T5,T5+1)</f>
        <v>2021</v>
      </c>
      <c r="V5" s="22">
        <f t="shared" ref="V5" si="40">IF(U6&lt;V6,U5,U5+1)</f>
        <v>2021</v>
      </c>
      <c r="W5" s="22">
        <f t="shared" ref="W5" si="41">IF(V6&lt;W6,V5,V5+1)</f>
        <v>2021</v>
      </c>
      <c r="X5" s="22">
        <f t="shared" ref="X5" si="42">IF(W6&lt;X6,W5,W5+1)</f>
        <v>2021</v>
      </c>
      <c r="Y5" s="22">
        <f t="shared" ref="Y5" si="43">IF(X6&lt;Y6,X5,X5+1)</f>
        <v>2021</v>
      </c>
      <c r="Z5" s="22">
        <f t="shared" ref="Z5" si="44">IF(Y6&lt;Z6,Y5,Y5+1)</f>
        <v>2021</v>
      </c>
      <c r="AA5" s="22">
        <f t="shared" ref="AA5" si="45">IF(Z6&lt;AA6,Z5,Z5+1)</f>
        <v>2022</v>
      </c>
      <c r="AB5" s="22">
        <f t="shared" ref="AB5" si="46">IF(AA6&lt;AB6,AA5,AA5+1)</f>
        <v>2022</v>
      </c>
      <c r="AC5" s="22">
        <f t="shared" ref="AC5" si="47">IF(AB6&lt;AC6,AB5,AB5+1)</f>
        <v>2022</v>
      </c>
      <c r="AD5" s="22">
        <f t="shared" ref="AD5" si="48">IF(AC6&lt;AD6,AC5,AC5+1)</f>
        <v>2022</v>
      </c>
      <c r="AE5" s="22">
        <f t="shared" ref="AE5" si="49">IF(AD6&lt;AE6,AD5,AD5+1)</f>
        <v>2022</v>
      </c>
      <c r="AF5" s="22">
        <f t="shared" ref="AF5" si="50">IF(AE6&lt;AF6,AE5,AE5+1)</f>
        <v>2022</v>
      </c>
      <c r="AG5" s="22">
        <f t="shared" ref="AG5" si="51">IF(AF6&lt;AG6,AF5,AF5+1)</f>
        <v>2022</v>
      </c>
      <c r="AH5" s="22">
        <f t="shared" ref="AH5" si="52">IF(AG6&lt;AH6,AG5,AG5+1)</f>
        <v>2022</v>
      </c>
      <c r="AI5" s="22">
        <f t="shared" ref="AI5" si="53">IF(AH6&lt;AI6,AH5,AH5+1)</f>
        <v>2022</v>
      </c>
      <c r="AJ5" s="22">
        <f t="shared" ref="AJ5" si="54">IF(AI6&lt;AJ6,AI5,AI5+1)</f>
        <v>2022</v>
      </c>
      <c r="AK5" s="22">
        <f t="shared" ref="AK5" si="55">IF(AJ6&lt;AK6,AJ5,AJ5+1)</f>
        <v>2022</v>
      </c>
      <c r="AL5" s="22">
        <f t="shared" ref="AL5" si="56">IF(AK6&lt;AL6,AK5,AK5+1)</f>
        <v>2022</v>
      </c>
      <c r="AM5" s="22">
        <f t="shared" ref="AM5" si="57">IF(AL6&lt;AM6,AL5,AL5+1)</f>
        <v>2023</v>
      </c>
      <c r="AN5" s="22">
        <f t="shared" ref="AN5" si="58">IF(AM6&lt;AN6,AM5,AM5+1)</f>
        <v>2023</v>
      </c>
      <c r="AO5" s="22">
        <f t="shared" ref="AO5" si="59">IF(AN6&lt;AO6,AN5,AN5+1)</f>
        <v>2023</v>
      </c>
      <c r="AP5" s="22">
        <f t="shared" ref="AP5" si="60">IF(AO6&lt;AP6,AO5,AO5+1)</f>
        <v>2023</v>
      </c>
      <c r="AQ5" s="22">
        <f t="shared" ref="AQ5" si="61">IF(AP6&lt;AQ6,AP5,AP5+1)</f>
        <v>2023</v>
      </c>
      <c r="AR5" s="22">
        <f t="shared" ref="AR5" si="62">IF(AQ6&lt;AR6,AQ5,AQ5+1)</f>
        <v>2023</v>
      </c>
      <c r="AS5" s="22">
        <f t="shared" ref="AS5" si="63">IF(AR6&lt;AS6,AR5,AR5+1)</f>
        <v>2023</v>
      </c>
      <c r="AT5" s="22">
        <f t="shared" ref="AT5" si="64">IF(AS6&lt;AT6,AS5,AS5+1)</f>
        <v>2023</v>
      </c>
      <c r="AU5" s="22">
        <f t="shared" ref="AU5" si="65">IF(AT6&lt;AU6,AT5,AT5+1)</f>
        <v>2023</v>
      </c>
      <c r="AV5" s="22">
        <f t="shared" ref="AV5" si="66">IF(AU6&lt;AV6,AU5,AU5+1)</f>
        <v>2023</v>
      </c>
      <c r="AW5" s="22">
        <f t="shared" ref="AW5" si="67">IF(AV6&lt;AW6,AV5,AV5+1)</f>
        <v>2023</v>
      </c>
      <c r="AX5" s="22">
        <f t="shared" ref="AX5" si="68">IF(AW6&lt;AX6,AW5,AW5+1)</f>
        <v>2023</v>
      </c>
      <c r="AY5" s="22">
        <f t="shared" ref="AY5" si="69">IF(AX6&lt;AY6,AX5,AX5+1)</f>
        <v>2024</v>
      </c>
      <c r="AZ5" s="22">
        <f t="shared" ref="AZ5" si="70">IF(AY6&lt;AZ6,AY5,AY5+1)</f>
        <v>2024</v>
      </c>
      <c r="BA5" s="22">
        <f t="shared" ref="BA5" si="71">IF(AZ6&lt;BA6,AZ5,AZ5+1)</f>
        <v>2024</v>
      </c>
      <c r="BB5" s="22">
        <f t="shared" ref="BB5" si="72">IF(BA6&lt;BB6,BA5,BA5+1)</f>
        <v>2024</v>
      </c>
      <c r="BC5" s="22">
        <f t="shared" ref="BC5" si="73">IF(BB6&lt;BC6,BB5,BB5+1)</f>
        <v>2024</v>
      </c>
      <c r="BD5" s="22">
        <f t="shared" ref="BD5" si="74">IF(BC6&lt;BD6,BC5,BC5+1)</f>
        <v>2024</v>
      </c>
      <c r="BE5" s="22">
        <f t="shared" ref="BE5" si="75">IF(BD6&lt;BE6,BD5,BD5+1)</f>
        <v>2024</v>
      </c>
      <c r="BF5" s="22">
        <f t="shared" ref="BF5" si="76">IF(BE6&lt;BF6,BE5,BE5+1)</f>
        <v>2024</v>
      </c>
      <c r="BG5" s="22">
        <f t="shared" ref="BG5" si="77">IF(BF6&lt;BG6,BF5,BF5+1)</f>
        <v>2024</v>
      </c>
      <c r="BH5" s="22">
        <f t="shared" ref="BH5" si="78">IF(BG6&lt;BH6,BG5,BG5+1)</f>
        <v>2024</v>
      </c>
      <c r="BI5" s="22">
        <f t="shared" ref="BI5" si="79">IF(BH6&lt;BI6,BH5,BH5+1)</f>
        <v>2024</v>
      </c>
      <c r="BJ5" s="22">
        <f t="shared" ref="BJ5" si="80">IF(BI6&lt;BJ6,BI5,BI5+1)</f>
        <v>2024</v>
      </c>
      <c r="BK5" s="22">
        <f t="shared" ref="BK5" si="81">IF(BJ6&lt;BK6,BJ5,BJ5+1)</f>
        <v>2025</v>
      </c>
      <c r="BL5" s="22">
        <f t="shared" ref="BL5" si="82">IF(BK6&lt;BL6,BK5,BK5+1)</f>
        <v>2025</v>
      </c>
      <c r="BM5" s="22">
        <f t="shared" ref="BM5" si="83">IF(BL6&lt;BM6,BL5,BL5+1)</f>
        <v>2025</v>
      </c>
      <c r="BN5" s="22">
        <f t="shared" ref="BN5" si="84">IF(BM6&lt;BN6,BM5,BM5+1)</f>
        <v>2025</v>
      </c>
      <c r="BO5" s="22">
        <f t="shared" ref="BO5" si="85">IF(BN6&lt;BO6,BN5,BN5+1)</f>
        <v>2025</v>
      </c>
      <c r="BP5" s="22">
        <f t="shared" ref="BP5" si="86">IF(BO6&lt;BP6,BO5,BO5+1)</f>
        <v>2025</v>
      </c>
      <c r="BQ5" s="22">
        <f t="shared" ref="BQ5" si="87">IF(BP6&lt;BQ6,BP5,BP5+1)</f>
        <v>2025</v>
      </c>
      <c r="BR5" s="22">
        <f t="shared" ref="BR5" si="88">IF(BQ6&lt;BR6,BQ5,BQ5+1)</f>
        <v>2025</v>
      </c>
      <c r="BS5" s="22">
        <f t="shared" ref="BS5" si="89">IF(BR6&lt;BS6,BR5,BR5+1)</f>
        <v>2025</v>
      </c>
      <c r="BT5" s="22">
        <f t="shared" ref="BT5" si="90">IF(BS6&lt;BT6,BS5,BS5+1)</f>
        <v>2025</v>
      </c>
      <c r="BU5" s="22">
        <f t="shared" ref="BU5" si="91">IF(BT6&lt;BU6,BT5,BT5+1)</f>
        <v>2025</v>
      </c>
      <c r="BV5" s="22">
        <f t="shared" ref="BV5:BW5" si="92">IF(BU6&lt;BV6,BU5,BU5+1)</f>
        <v>2025</v>
      </c>
      <c r="BW5" s="22">
        <f t="shared" si="92"/>
        <v>2026</v>
      </c>
      <c r="BX5" s="22">
        <f t="shared" ref="BX5" si="93">IF(BW6&lt;BX6,BW5,BW5+1)</f>
        <v>2026</v>
      </c>
      <c r="BY5" s="22">
        <f t="shared" ref="BY5" si="94">IF(BX6&lt;BY6,BX5,BX5+1)</f>
        <v>2026</v>
      </c>
      <c r="BZ5" s="22">
        <f t="shared" ref="BZ5" si="95">IF(BY6&lt;BZ6,BY5,BY5+1)</f>
        <v>2026</v>
      </c>
      <c r="CA5" s="22">
        <f t="shared" ref="CA5" si="96">IF(BZ6&lt;CA6,BZ5,BZ5+1)</f>
        <v>2026</v>
      </c>
      <c r="CB5" s="22">
        <f t="shared" ref="CB5" si="97">IF(CA6&lt;CB6,CA5,CA5+1)</f>
        <v>2026</v>
      </c>
      <c r="CC5" s="22">
        <f t="shared" ref="CC5" si="98">IF(CB6&lt;CC6,CB5,CB5+1)</f>
        <v>2026</v>
      </c>
      <c r="CD5" s="22">
        <f t="shared" ref="CD5" si="99">IF(CC6&lt;CD6,CC5,CC5+1)</f>
        <v>2026</v>
      </c>
      <c r="CE5" s="22">
        <f t="shared" ref="CE5" si="100">IF(CD6&lt;CE6,CD5,CD5+1)</f>
        <v>2026</v>
      </c>
      <c r="CF5" s="22">
        <f t="shared" ref="CF5" si="101">IF(CE6&lt;CF6,CE5,CE5+1)</f>
        <v>2026</v>
      </c>
      <c r="CG5" s="22">
        <f t="shared" ref="CG5" si="102">IF(CF6&lt;CG6,CF5,CF5+1)</f>
        <v>2026</v>
      </c>
      <c r="CH5" s="22">
        <f t="shared" ref="CH5" si="103">IF(CG6&lt;CH6,CG5,CG5+1)</f>
        <v>2026</v>
      </c>
    </row>
    <row r="6" spans="2:86" outlineLevel="1" x14ac:dyDescent="0.35">
      <c r="B6" s="22" t="s">
        <v>54</v>
      </c>
      <c r="C6" s="22">
        <f>INDEX(EMG!$D$53:$D$64,MATCH(C$3,EMG!$E$53:$E$64,0),1)</f>
        <v>1</v>
      </c>
      <c r="D6" s="22">
        <f>INDEX(EMG!$D$53:$D$64,MATCH(D$3,EMG!$E$53:$E$64,0),1)</f>
        <v>2</v>
      </c>
      <c r="E6" s="22">
        <f>INDEX(EMG!$D$53:$D$64,MATCH(E$3,EMG!$E$53:$E$64,0),1)</f>
        <v>3</v>
      </c>
      <c r="F6" s="22">
        <f>INDEX(EMG!$D$53:$D$64,MATCH(F$3,EMG!$E$53:$E$64,0),1)</f>
        <v>4</v>
      </c>
      <c r="G6" s="22">
        <f>INDEX(EMG!$D$53:$D$64,MATCH(G$3,EMG!$E$53:$E$64,0),1)</f>
        <v>5</v>
      </c>
      <c r="H6" s="22">
        <f>INDEX(EMG!$D$53:$D$64,MATCH(H$3,EMG!$E$53:$E$64,0),1)</f>
        <v>6</v>
      </c>
      <c r="I6" s="22">
        <f>INDEX(EMG!$D$53:$D$64,MATCH(I$3,EMG!$E$53:$E$64,0),1)</f>
        <v>7</v>
      </c>
      <c r="J6" s="22">
        <f>INDEX(EMG!$D$53:$D$64,MATCH(J$3,EMG!$E$53:$E$64,0),1)</f>
        <v>8</v>
      </c>
      <c r="K6" s="22">
        <f>INDEX(EMG!$D$53:$D$64,MATCH(K$3,EMG!$E$53:$E$64,0),1)</f>
        <v>9</v>
      </c>
      <c r="L6" s="22">
        <f>INDEX(EMG!$D$53:$D$64,MATCH(L$3,EMG!$E$53:$E$64,0),1)</f>
        <v>10</v>
      </c>
      <c r="M6" s="22">
        <f>INDEX(EMG!$D$53:$D$64,MATCH(M$3,EMG!$E$53:$E$64,0),1)</f>
        <v>11</v>
      </c>
      <c r="N6" s="22">
        <f>INDEX(EMG!$D$53:$D$64,MATCH(N$3,EMG!$E$53:$E$64,0),1)</f>
        <v>12</v>
      </c>
      <c r="O6" s="22">
        <f>INDEX(EMG!$D$53:$D$64,MATCH(O$3,EMG!$E$53:$E$64,0),1)</f>
        <v>1</v>
      </c>
      <c r="P6" s="22">
        <f>INDEX(EMG!$D$53:$D$64,MATCH(P$3,EMG!$E$53:$E$64,0),1)</f>
        <v>2</v>
      </c>
      <c r="Q6" s="22">
        <f>INDEX(EMG!$D$53:$D$64,MATCH(Q$3,EMG!$E$53:$E$64,0),1)</f>
        <v>3</v>
      </c>
      <c r="R6" s="22">
        <f>INDEX(EMG!$D$53:$D$64,MATCH(R$3,EMG!$E$53:$E$64,0),1)</f>
        <v>4</v>
      </c>
      <c r="S6" s="22">
        <f>INDEX(EMG!$D$53:$D$64,MATCH(S$3,EMG!$E$53:$E$64,0),1)</f>
        <v>5</v>
      </c>
      <c r="T6" s="22">
        <f>INDEX(EMG!$D$53:$D$64,MATCH(T$3,EMG!$E$53:$E$64,0),1)</f>
        <v>6</v>
      </c>
      <c r="U6" s="22">
        <f>INDEX(EMG!$D$53:$D$64,MATCH(U$3,EMG!$E$53:$E$64,0),1)</f>
        <v>7</v>
      </c>
      <c r="V6" s="22">
        <f>INDEX(EMG!$D$53:$D$64,MATCH(V$3,EMG!$E$53:$E$64,0),1)</f>
        <v>8</v>
      </c>
      <c r="W6" s="22">
        <f>INDEX(EMG!$D$53:$D$64,MATCH(W$3,EMG!$E$53:$E$64,0),1)</f>
        <v>9</v>
      </c>
      <c r="X6" s="22">
        <f>INDEX(EMG!$D$53:$D$64,MATCH(X$3,EMG!$E$53:$E$64,0),1)</f>
        <v>10</v>
      </c>
      <c r="Y6" s="22">
        <f>INDEX(EMG!$D$53:$D$64,MATCH(Y$3,EMG!$E$53:$E$64,0),1)</f>
        <v>11</v>
      </c>
      <c r="Z6" s="22">
        <f>INDEX(EMG!$D$53:$D$64,MATCH(Z$3,EMG!$E$53:$E$64,0),1)</f>
        <v>12</v>
      </c>
      <c r="AA6" s="22">
        <f>INDEX(EMG!$D$53:$D$64,MATCH(AA$3,EMG!$E$53:$E$64,0),1)</f>
        <v>1</v>
      </c>
      <c r="AB6" s="22">
        <f>INDEX(EMG!$D$53:$D$64,MATCH(AB$3,EMG!$E$53:$E$64,0),1)</f>
        <v>2</v>
      </c>
      <c r="AC6" s="22">
        <f>INDEX(EMG!$D$53:$D$64,MATCH(AC$3,EMG!$E$53:$E$64,0),1)</f>
        <v>3</v>
      </c>
      <c r="AD6" s="22">
        <f>INDEX(EMG!$D$53:$D$64,MATCH(AD$3,EMG!$E$53:$E$64,0),1)</f>
        <v>4</v>
      </c>
      <c r="AE6" s="22">
        <f>INDEX(EMG!$D$53:$D$64,MATCH(AE$3,EMG!$E$53:$E$64,0),1)</f>
        <v>5</v>
      </c>
      <c r="AF6" s="22">
        <f>INDEX(EMG!$D$53:$D$64,MATCH(AF$3,EMG!$E$53:$E$64,0),1)</f>
        <v>6</v>
      </c>
      <c r="AG6" s="22">
        <f>INDEX(EMG!$D$53:$D$64,MATCH(AG$3,EMG!$E$53:$E$64,0),1)</f>
        <v>7</v>
      </c>
      <c r="AH6" s="22">
        <f>INDEX(EMG!$D$53:$D$64,MATCH(AH$3,EMG!$E$53:$E$64,0),1)</f>
        <v>8</v>
      </c>
      <c r="AI6" s="22">
        <f>INDEX(EMG!$D$53:$D$64,MATCH(AI$3,EMG!$E$53:$E$64,0),1)</f>
        <v>9</v>
      </c>
      <c r="AJ6" s="22">
        <f>INDEX(EMG!$D$53:$D$64,MATCH(AJ$3,EMG!$E$53:$E$64,0),1)</f>
        <v>10</v>
      </c>
      <c r="AK6" s="22">
        <f>INDEX(EMG!$D$53:$D$64,MATCH(AK$3,EMG!$E$53:$E$64,0),1)</f>
        <v>11</v>
      </c>
      <c r="AL6" s="22">
        <f>INDEX(EMG!$D$53:$D$64,MATCH(AL$3,EMG!$E$53:$E$64,0),1)</f>
        <v>12</v>
      </c>
      <c r="AM6" s="22">
        <f>INDEX(EMG!$D$53:$D$64,MATCH(AM$3,EMG!$E$53:$E$64,0),1)</f>
        <v>1</v>
      </c>
      <c r="AN6" s="22">
        <f>INDEX(EMG!$D$53:$D$64,MATCH(AN$3,EMG!$E$53:$E$64,0),1)</f>
        <v>2</v>
      </c>
      <c r="AO6" s="22">
        <f>INDEX(EMG!$D$53:$D$64,MATCH(AO$3,EMG!$E$53:$E$64,0),1)</f>
        <v>3</v>
      </c>
      <c r="AP6" s="22">
        <f>INDEX(EMG!$D$53:$D$64,MATCH(AP$3,EMG!$E$53:$E$64,0),1)</f>
        <v>4</v>
      </c>
      <c r="AQ6" s="22">
        <f>INDEX(EMG!$D$53:$D$64,MATCH(AQ$3,EMG!$E$53:$E$64,0),1)</f>
        <v>5</v>
      </c>
      <c r="AR6" s="22">
        <f>INDEX(EMG!$D$53:$D$64,MATCH(AR$3,EMG!$E$53:$E$64,0),1)</f>
        <v>6</v>
      </c>
      <c r="AS6" s="22">
        <f>INDEX(EMG!$D$53:$D$64,MATCH(AS$3,EMG!$E$53:$E$64,0),1)</f>
        <v>7</v>
      </c>
      <c r="AT6" s="22">
        <f>INDEX(EMG!$D$53:$D$64,MATCH(AT$3,EMG!$E$53:$E$64,0),1)</f>
        <v>8</v>
      </c>
      <c r="AU6" s="22">
        <f>INDEX(EMG!$D$53:$D$64,MATCH(AU$3,EMG!$E$53:$E$64,0),1)</f>
        <v>9</v>
      </c>
      <c r="AV6" s="22">
        <f>INDEX(EMG!$D$53:$D$64,MATCH(AV$3,EMG!$E$53:$E$64,0),1)</f>
        <v>10</v>
      </c>
      <c r="AW6" s="22">
        <f>INDEX(EMG!$D$53:$D$64,MATCH(AW$3,EMG!$E$53:$E$64,0),1)</f>
        <v>11</v>
      </c>
      <c r="AX6" s="22">
        <f>INDEX(EMG!$D$53:$D$64,MATCH(AX$3,EMG!$E$53:$E$64,0),1)</f>
        <v>12</v>
      </c>
      <c r="AY6" s="22">
        <f>INDEX(EMG!$D$53:$D$64,MATCH(AY$3,EMG!$E$53:$E$64,0),1)</f>
        <v>1</v>
      </c>
      <c r="AZ6" s="22">
        <f>INDEX(EMG!$D$53:$D$64,MATCH(AZ$3,EMG!$E$53:$E$64,0),1)</f>
        <v>2</v>
      </c>
      <c r="BA6" s="22">
        <f>INDEX(EMG!$D$53:$D$64,MATCH(BA$3,EMG!$E$53:$E$64,0),1)</f>
        <v>3</v>
      </c>
      <c r="BB6" s="22">
        <f>INDEX(EMG!$D$53:$D$64,MATCH(BB$3,EMG!$E$53:$E$64,0),1)</f>
        <v>4</v>
      </c>
      <c r="BC6" s="22">
        <f>INDEX(EMG!$D$53:$D$64,MATCH(BC$3,EMG!$E$53:$E$64,0),1)</f>
        <v>5</v>
      </c>
      <c r="BD6" s="22">
        <f>INDEX(EMG!$D$53:$D$64,MATCH(BD$3,EMG!$E$53:$E$64,0),1)</f>
        <v>6</v>
      </c>
      <c r="BE6" s="22">
        <f>INDEX(EMG!$D$53:$D$64,MATCH(BE$3,EMG!$E$53:$E$64,0),1)</f>
        <v>7</v>
      </c>
      <c r="BF6" s="22">
        <f>INDEX(EMG!$D$53:$D$64,MATCH(BF$3,EMG!$E$53:$E$64,0),1)</f>
        <v>8</v>
      </c>
      <c r="BG6" s="22">
        <f>INDEX(EMG!$D$53:$D$64,MATCH(BG$3,EMG!$E$53:$E$64,0),1)</f>
        <v>9</v>
      </c>
      <c r="BH6" s="22">
        <f>INDEX(EMG!$D$53:$D$64,MATCH(BH$3,EMG!$E$53:$E$64,0),1)</f>
        <v>10</v>
      </c>
      <c r="BI6" s="22">
        <f>INDEX(EMG!$D$53:$D$64,MATCH(BI$3,EMG!$E$53:$E$64,0),1)</f>
        <v>11</v>
      </c>
      <c r="BJ6" s="22">
        <f>INDEX(EMG!$D$53:$D$64,MATCH(BJ$3,EMG!$E$53:$E$64,0),1)</f>
        <v>12</v>
      </c>
      <c r="BK6" s="22">
        <f>INDEX(EMG!$D$53:$D$64,MATCH(BK$3,EMG!$E$53:$E$64,0),1)</f>
        <v>1</v>
      </c>
      <c r="BL6" s="22">
        <f>INDEX(EMG!$D$53:$D$64,MATCH(BL$3,EMG!$E$53:$E$64,0),1)</f>
        <v>2</v>
      </c>
      <c r="BM6" s="22">
        <f>INDEX(EMG!$D$53:$D$64,MATCH(BM$3,EMG!$E$53:$E$64,0),1)</f>
        <v>3</v>
      </c>
      <c r="BN6" s="22">
        <f>INDEX(EMG!$D$53:$D$64,MATCH(BN$3,EMG!$E$53:$E$64,0),1)</f>
        <v>4</v>
      </c>
      <c r="BO6" s="22">
        <f>INDEX(EMG!$D$53:$D$64,MATCH(BO$3,EMG!$E$53:$E$64,0),1)</f>
        <v>5</v>
      </c>
      <c r="BP6" s="22">
        <f>INDEX(EMG!$D$53:$D$64,MATCH(BP$3,EMG!$E$53:$E$64,0),1)</f>
        <v>6</v>
      </c>
      <c r="BQ6" s="22">
        <f>INDEX(EMG!$D$53:$D$64,MATCH(BQ$3,EMG!$E$53:$E$64,0),1)</f>
        <v>7</v>
      </c>
      <c r="BR6" s="22">
        <f>INDEX(EMG!$D$53:$D$64,MATCH(BR$3,EMG!$E$53:$E$64,0),1)</f>
        <v>8</v>
      </c>
      <c r="BS6" s="22">
        <f>INDEX(EMG!$D$53:$D$64,MATCH(BS$3,EMG!$E$53:$E$64,0),1)</f>
        <v>9</v>
      </c>
      <c r="BT6" s="22">
        <f>INDEX(EMG!$D$53:$D$64,MATCH(BT$3,EMG!$E$53:$E$64,0),1)</f>
        <v>10</v>
      </c>
      <c r="BU6" s="22">
        <f>INDEX(EMG!$D$53:$D$64,MATCH(BU$3,EMG!$E$53:$E$64,0),1)</f>
        <v>11</v>
      </c>
      <c r="BV6" s="22">
        <f>INDEX(EMG!$D$53:$D$64,MATCH(BV$3,EMG!$E$53:$E$64,0),1)</f>
        <v>12</v>
      </c>
      <c r="BW6" s="22">
        <v>1</v>
      </c>
      <c r="BX6" s="22">
        <v>2</v>
      </c>
      <c r="BY6" s="22">
        <v>3</v>
      </c>
      <c r="BZ6" s="22">
        <v>4</v>
      </c>
      <c r="CA6" s="22">
        <v>5</v>
      </c>
      <c r="CB6" s="22">
        <v>6</v>
      </c>
      <c r="CC6" s="22">
        <v>7</v>
      </c>
      <c r="CD6" s="22">
        <v>8</v>
      </c>
      <c r="CE6" s="22">
        <v>9</v>
      </c>
      <c r="CF6" s="22">
        <v>10</v>
      </c>
      <c r="CG6" s="22">
        <v>11</v>
      </c>
      <c r="CH6" s="22">
        <v>12</v>
      </c>
    </row>
    <row r="7" spans="2:86" outlineLevel="1" x14ac:dyDescent="0.35">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row>
    <row r="8" spans="2:86" outlineLevel="1" x14ac:dyDescent="0.35">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row>
    <row r="9" spans="2:86" ht="13.15" x14ac:dyDescent="0.4">
      <c r="B9" s="24" t="s">
        <v>55</v>
      </c>
    </row>
    <row r="10" spans="2:86" ht="13.15" x14ac:dyDescent="0.4">
      <c r="C10" s="198">
        <f>IF(C6=1,C5-2000,C5-2000+1)</f>
        <v>20</v>
      </c>
      <c r="D10" s="198"/>
      <c r="E10" s="198"/>
      <c r="F10" s="198"/>
      <c r="G10" s="198"/>
      <c r="H10" s="198"/>
      <c r="I10" s="198"/>
      <c r="J10" s="198"/>
      <c r="K10" s="198"/>
      <c r="L10" s="198"/>
      <c r="M10" s="198"/>
      <c r="N10" s="198"/>
      <c r="O10" s="199">
        <f>IF(O6=1,O5-2000,O5-2000+1)</f>
        <v>21</v>
      </c>
      <c r="P10" s="199"/>
      <c r="Q10" s="199"/>
      <c r="R10" s="199"/>
      <c r="S10" s="199"/>
      <c r="T10" s="199"/>
      <c r="U10" s="199"/>
      <c r="V10" s="199"/>
      <c r="W10" s="199"/>
      <c r="X10" s="199"/>
      <c r="Y10" s="199"/>
      <c r="Z10" s="199"/>
      <c r="AA10" s="198">
        <f>IF(AA6=1,AA5-2000,AA5-2000+1)</f>
        <v>22</v>
      </c>
      <c r="AB10" s="198"/>
      <c r="AC10" s="198"/>
      <c r="AD10" s="198"/>
      <c r="AE10" s="198"/>
      <c r="AF10" s="198"/>
      <c r="AG10" s="198"/>
      <c r="AH10" s="198"/>
      <c r="AI10" s="198"/>
      <c r="AJ10" s="198"/>
      <c r="AK10" s="198"/>
      <c r="AL10" s="198"/>
      <c r="AM10" s="199">
        <f>IF(AM6=1,AM5-2000,AM5-2000+1)</f>
        <v>23</v>
      </c>
      <c r="AN10" s="199"/>
      <c r="AO10" s="199"/>
      <c r="AP10" s="199"/>
      <c r="AQ10" s="199"/>
      <c r="AR10" s="199"/>
      <c r="AS10" s="199"/>
      <c r="AT10" s="199"/>
      <c r="AU10" s="199"/>
      <c r="AV10" s="199"/>
      <c r="AW10" s="199"/>
      <c r="AX10" s="199"/>
      <c r="AY10" s="201">
        <f>IF(AY6=1,AY5-2000,AY5-2000+1)</f>
        <v>24</v>
      </c>
      <c r="AZ10" s="201"/>
      <c r="BA10" s="201"/>
      <c r="BB10" s="201"/>
      <c r="BC10" s="201"/>
      <c r="BD10" s="201"/>
      <c r="BE10" s="201"/>
      <c r="BF10" s="201"/>
      <c r="BG10" s="201"/>
      <c r="BH10" s="201"/>
      <c r="BI10" s="201"/>
      <c r="BJ10" s="201"/>
      <c r="BK10" s="202">
        <f>IF(BK6=1,BK5-2000,BK5-2000+1)</f>
        <v>25</v>
      </c>
      <c r="BL10" s="202"/>
      <c r="BM10" s="202"/>
      <c r="BN10" s="202"/>
      <c r="BO10" s="202"/>
      <c r="BP10" s="202"/>
      <c r="BQ10" s="202"/>
      <c r="BR10" s="202"/>
      <c r="BS10" s="202"/>
      <c r="BT10" s="202"/>
      <c r="BU10" s="202"/>
      <c r="BV10" s="202"/>
      <c r="BW10" s="201">
        <f>IF(BW6=1,BW5-2000,BW5-2000+1)</f>
        <v>26</v>
      </c>
      <c r="BX10" s="201"/>
      <c r="BY10" s="201"/>
      <c r="BZ10" s="201"/>
      <c r="CA10" s="201"/>
      <c r="CB10" s="201"/>
      <c r="CC10" s="201"/>
      <c r="CD10" s="201"/>
      <c r="CE10" s="201"/>
      <c r="CF10" s="201"/>
      <c r="CG10" s="201"/>
      <c r="CH10" s="201"/>
    </row>
    <row r="11" spans="2:86" ht="13.15" x14ac:dyDescent="0.4">
      <c r="B11" s="25" t="s">
        <v>56</v>
      </c>
      <c r="C11" s="26">
        <f t="shared" ref="C11:Z11" si="104">DATE(C5,C6,1)</f>
        <v>43831</v>
      </c>
      <c r="D11" s="26">
        <f t="shared" si="104"/>
        <v>43862</v>
      </c>
      <c r="E11" s="26">
        <f t="shared" si="104"/>
        <v>43891</v>
      </c>
      <c r="F11" s="26">
        <f t="shared" si="104"/>
        <v>43922</v>
      </c>
      <c r="G11" s="26">
        <f t="shared" si="104"/>
        <v>43952</v>
      </c>
      <c r="H11" s="26">
        <f t="shared" si="104"/>
        <v>43983</v>
      </c>
      <c r="I11" s="26">
        <f t="shared" si="104"/>
        <v>44013</v>
      </c>
      <c r="J11" s="26">
        <f t="shared" si="104"/>
        <v>44044</v>
      </c>
      <c r="K11" s="26">
        <f t="shared" si="104"/>
        <v>44075</v>
      </c>
      <c r="L11" s="26">
        <f t="shared" si="104"/>
        <v>44105</v>
      </c>
      <c r="M11" s="26">
        <f t="shared" si="104"/>
        <v>44136</v>
      </c>
      <c r="N11" s="26">
        <f t="shared" si="104"/>
        <v>44166</v>
      </c>
      <c r="O11" s="27">
        <f t="shared" si="104"/>
        <v>44197</v>
      </c>
      <c r="P11" s="27">
        <f t="shared" si="104"/>
        <v>44228</v>
      </c>
      <c r="Q11" s="27">
        <f t="shared" si="104"/>
        <v>44256</v>
      </c>
      <c r="R11" s="27">
        <f t="shared" si="104"/>
        <v>44287</v>
      </c>
      <c r="S11" s="27">
        <f t="shared" si="104"/>
        <v>44317</v>
      </c>
      <c r="T11" s="27">
        <f t="shared" si="104"/>
        <v>44348</v>
      </c>
      <c r="U11" s="27">
        <f t="shared" si="104"/>
        <v>44378</v>
      </c>
      <c r="V11" s="27">
        <f t="shared" si="104"/>
        <v>44409</v>
      </c>
      <c r="W11" s="27">
        <f t="shared" si="104"/>
        <v>44440</v>
      </c>
      <c r="X11" s="27">
        <f t="shared" si="104"/>
        <v>44470</v>
      </c>
      <c r="Y11" s="27">
        <f t="shared" si="104"/>
        <v>44501</v>
      </c>
      <c r="Z11" s="27">
        <f t="shared" si="104"/>
        <v>44531</v>
      </c>
      <c r="AA11" s="26">
        <f t="shared" ref="AA11:AX11" si="105">DATE(AA5,AA6,1)</f>
        <v>44562</v>
      </c>
      <c r="AB11" s="26">
        <f t="shared" si="105"/>
        <v>44593</v>
      </c>
      <c r="AC11" s="26">
        <f t="shared" si="105"/>
        <v>44621</v>
      </c>
      <c r="AD11" s="26">
        <f t="shared" si="105"/>
        <v>44652</v>
      </c>
      <c r="AE11" s="26">
        <f t="shared" si="105"/>
        <v>44682</v>
      </c>
      <c r="AF11" s="26">
        <f t="shared" si="105"/>
        <v>44713</v>
      </c>
      <c r="AG11" s="26">
        <f t="shared" si="105"/>
        <v>44743</v>
      </c>
      <c r="AH11" s="26">
        <f t="shared" si="105"/>
        <v>44774</v>
      </c>
      <c r="AI11" s="26">
        <f t="shared" si="105"/>
        <v>44805</v>
      </c>
      <c r="AJ11" s="26">
        <f t="shared" si="105"/>
        <v>44835</v>
      </c>
      <c r="AK11" s="26">
        <f t="shared" si="105"/>
        <v>44866</v>
      </c>
      <c r="AL11" s="26">
        <f t="shared" si="105"/>
        <v>44896</v>
      </c>
      <c r="AM11" s="27">
        <f t="shared" si="105"/>
        <v>44927</v>
      </c>
      <c r="AN11" s="27">
        <f t="shared" si="105"/>
        <v>44958</v>
      </c>
      <c r="AO11" s="27">
        <f t="shared" si="105"/>
        <v>44986</v>
      </c>
      <c r="AP11" s="27">
        <f t="shared" si="105"/>
        <v>45017</v>
      </c>
      <c r="AQ11" s="27">
        <f t="shared" si="105"/>
        <v>45047</v>
      </c>
      <c r="AR11" s="27">
        <f t="shared" si="105"/>
        <v>45078</v>
      </c>
      <c r="AS11" s="27">
        <f t="shared" si="105"/>
        <v>45108</v>
      </c>
      <c r="AT11" s="27">
        <f t="shared" si="105"/>
        <v>45139</v>
      </c>
      <c r="AU11" s="27">
        <f t="shared" si="105"/>
        <v>45170</v>
      </c>
      <c r="AV11" s="27">
        <f t="shared" si="105"/>
        <v>45200</v>
      </c>
      <c r="AW11" s="27">
        <f t="shared" si="105"/>
        <v>45231</v>
      </c>
      <c r="AX11" s="27">
        <f t="shared" si="105"/>
        <v>45261</v>
      </c>
      <c r="AY11" s="27">
        <f t="shared" ref="AY11:BJ11" si="106">DATE(AY5,AY6,1)</f>
        <v>45292</v>
      </c>
      <c r="AZ11" s="27">
        <f t="shared" si="106"/>
        <v>45323</v>
      </c>
      <c r="BA11" s="27">
        <f t="shared" si="106"/>
        <v>45352</v>
      </c>
      <c r="BB11" s="27">
        <f t="shared" si="106"/>
        <v>45383</v>
      </c>
      <c r="BC11" s="27">
        <f t="shared" si="106"/>
        <v>45413</v>
      </c>
      <c r="BD11" s="27">
        <f t="shared" si="106"/>
        <v>45444</v>
      </c>
      <c r="BE11" s="27">
        <f t="shared" si="106"/>
        <v>45474</v>
      </c>
      <c r="BF11" s="27">
        <f t="shared" si="106"/>
        <v>45505</v>
      </c>
      <c r="BG11" s="27">
        <f t="shared" si="106"/>
        <v>45536</v>
      </c>
      <c r="BH11" s="27">
        <f t="shared" si="106"/>
        <v>45566</v>
      </c>
      <c r="BI11" s="27">
        <f t="shared" si="106"/>
        <v>45597</v>
      </c>
      <c r="BJ11" s="27">
        <f t="shared" si="106"/>
        <v>45627</v>
      </c>
      <c r="BK11" s="27">
        <f t="shared" ref="BK11:CH11" si="107">DATE(BK5,BK6,1)</f>
        <v>45658</v>
      </c>
      <c r="BL11" s="27">
        <f t="shared" si="107"/>
        <v>45689</v>
      </c>
      <c r="BM11" s="27">
        <f t="shared" si="107"/>
        <v>45717</v>
      </c>
      <c r="BN11" s="27">
        <f t="shared" si="107"/>
        <v>45748</v>
      </c>
      <c r="BO11" s="27">
        <f t="shared" si="107"/>
        <v>45778</v>
      </c>
      <c r="BP11" s="27">
        <f t="shared" si="107"/>
        <v>45809</v>
      </c>
      <c r="BQ11" s="27">
        <f t="shared" si="107"/>
        <v>45839</v>
      </c>
      <c r="BR11" s="27">
        <f t="shared" si="107"/>
        <v>45870</v>
      </c>
      <c r="BS11" s="27">
        <f t="shared" si="107"/>
        <v>45901</v>
      </c>
      <c r="BT11" s="27">
        <f t="shared" si="107"/>
        <v>45931</v>
      </c>
      <c r="BU11" s="27">
        <f t="shared" si="107"/>
        <v>45962</v>
      </c>
      <c r="BV11" s="27">
        <f t="shared" si="107"/>
        <v>45992</v>
      </c>
      <c r="BW11" s="27">
        <f t="shared" si="107"/>
        <v>46023</v>
      </c>
      <c r="BX11" s="27">
        <f t="shared" si="107"/>
        <v>46054</v>
      </c>
      <c r="BY11" s="27">
        <f t="shared" si="107"/>
        <v>46082</v>
      </c>
      <c r="BZ11" s="27">
        <f t="shared" si="107"/>
        <v>46113</v>
      </c>
      <c r="CA11" s="27">
        <f t="shared" si="107"/>
        <v>46143</v>
      </c>
      <c r="CB11" s="27">
        <f t="shared" si="107"/>
        <v>46174</v>
      </c>
      <c r="CC11" s="27">
        <f t="shared" si="107"/>
        <v>46204</v>
      </c>
      <c r="CD11" s="27">
        <f t="shared" si="107"/>
        <v>46235</v>
      </c>
      <c r="CE11" s="27">
        <f t="shared" si="107"/>
        <v>46266</v>
      </c>
      <c r="CF11" s="27">
        <f t="shared" si="107"/>
        <v>46296</v>
      </c>
      <c r="CG11" s="27">
        <f t="shared" si="107"/>
        <v>46327</v>
      </c>
      <c r="CH11" s="27">
        <f t="shared" si="107"/>
        <v>46357</v>
      </c>
    </row>
    <row r="12" spans="2:86" x14ac:dyDescent="0.35">
      <c r="B12" s="63" t="s">
        <v>19</v>
      </c>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194"/>
      <c r="BI12" s="194"/>
      <c r="BJ12" s="194"/>
      <c r="BK12" s="194"/>
      <c r="BL12" s="194"/>
      <c r="BM12" s="194"/>
      <c r="BN12" s="194"/>
      <c r="BO12" s="194"/>
      <c r="BP12" s="194"/>
      <c r="BQ12" s="194"/>
      <c r="BR12" s="171"/>
      <c r="BS12" s="194"/>
      <c r="BT12" s="194">
        <v>0</v>
      </c>
      <c r="BU12" s="194">
        <v>0</v>
      </c>
      <c r="BV12" s="194">
        <v>0</v>
      </c>
      <c r="BW12" s="194">
        <v>0</v>
      </c>
      <c r="BX12" s="194">
        <v>0</v>
      </c>
      <c r="BY12" s="194"/>
    </row>
    <row r="13" spans="2:86" x14ac:dyDescent="0.35">
      <c r="B13" s="63" t="s">
        <v>20</v>
      </c>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194"/>
      <c r="BI13" s="194"/>
      <c r="BJ13" s="194"/>
      <c r="BK13" s="194"/>
      <c r="BL13" s="194"/>
      <c r="BM13" s="194"/>
      <c r="BN13" s="194"/>
      <c r="BO13" s="194"/>
      <c r="BP13" s="194"/>
      <c r="BQ13" s="194"/>
      <c r="BR13" s="171"/>
      <c r="BS13" s="194"/>
      <c r="BT13" s="194">
        <v>0</v>
      </c>
      <c r="BU13" s="194">
        <v>0</v>
      </c>
      <c r="BV13" s="194">
        <v>0</v>
      </c>
      <c r="BW13" s="194">
        <v>0</v>
      </c>
      <c r="BX13" s="194">
        <v>0</v>
      </c>
      <c r="BY13" s="194"/>
    </row>
    <row r="14" spans="2:86" x14ac:dyDescent="0.35">
      <c r="B14" s="63" t="s">
        <v>21</v>
      </c>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194"/>
      <c r="BI14" s="194"/>
      <c r="BJ14" s="194"/>
      <c r="BK14" s="194"/>
      <c r="BL14" s="194"/>
      <c r="BM14" s="194"/>
      <c r="BN14" s="194"/>
      <c r="BO14" s="194"/>
      <c r="BP14" s="194"/>
      <c r="BQ14" s="194"/>
      <c r="BR14" s="171"/>
      <c r="BS14" s="194"/>
      <c r="BT14" s="194">
        <v>0</v>
      </c>
      <c r="BU14" s="194">
        <v>0</v>
      </c>
      <c r="BV14" s="194">
        <v>0</v>
      </c>
      <c r="BW14" s="194">
        <v>0</v>
      </c>
      <c r="BX14" s="194">
        <v>0</v>
      </c>
      <c r="BY14" s="194"/>
    </row>
    <row r="15" spans="2:86" x14ac:dyDescent="0.35">
      <c r="B15" s="63" t="s">
        <v>22</v>
      </c>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171"/>
      <c r="AN15" s="171"/>
      <c r="AO15" s="171"/>
      <c r="AP15" s="171"/>
      <c r="AQ15" s="171"/>
      <c r="AR15" s="171"/>
      <c r="AS15" s="171"/>
      <c r="AT15" s="171"/>
      <c r="AU15" s="171"/>
      <c r="AV15" s="171"/>
      <c r="AW15" s="171"/>
      <c r="AX15" s="171"/>
      <c r="AY15" s="171"/>
      <c r="AZ15" s="171"/>
      <c r="BA15" s="171"/>
      <c r="BB15" s="171"/>
      <c r="BC15" s="171"/>
      <c r="BD15" s="171"/>
      <c r="BE15" s="171"/>
      <c r="BF15" s="171"/>
      <c r="BG15" s="171"/>
      <c r="BH15" s="171"/>
      <c r="BI15" s="171"/>
      <c r="BJ15" s="171"/>
      <c r="BK15" s="171"/>
      <c r="BL15" s="171"/>
      <c r="BM15" s="171"/>
      <c r="BN15" s="171"/>
      <c r="BO15" s="171"/>
      <c r="BP15" s="171"/>
      <c r="BQ15" s="171"/>
      <c r="BR15" s="171"/>
      <c r="BS15" s="171"/>
      <c r="BT15" s="171">
        <v>0</v>
      </c>
      <c r="BU15" s="171">
        <v>0</v>
      </c>
      <c r="BV15" s="171">
        <v>0</v>
      </c>
      <c r="BW15" s="171">
        <v>0</v>
      </c>
      <c r="BX15" s="171">
        <v>0</v>
      </c>
      <c r="BY15" s="171"/>
    </row>
    <row r="16" spans="2:86" ht="13.15" x14ac:dyDescent="0.4">
      <c r="B16" s="25" t="s">
        <v>48</v>
      </c>
      <c r="C16" s="76">
        <v>0</v>
      </c>
      <c r="D16" s="76">
        <v>0</v>
      </c>
      <c r="E16" s="76">
        <v>0</v>
      </c>
      <c r="F16" s="76">
        <v>0</v>
      </c>
      <c r="G16" s="76">
        <v>0</v>
      </c>
      <c r="H16" s="76">
        <v>0</v>
      </c>
      <c r="I16" s="76">
        <v>0</v>
      </c>
      <c r="J16" s="76">
        <v>0</v>
      </c>
      <c r="K16" s="76">
        <v>0</v>
      </c>
      <c r="L16" s="76">
        <v>0</v>
      </c>
      <c r="M16" s="30">
        <v>0</v>
      </c>
      <c r="N16" s="30">
        <v>0</v>
      </c>
      <c r="O16" s="30">
        <v>0</v>
      </c>
      <c r="P16" s="30">
        <v>0</v>
      </c>
      <c r="Q16" s="30">
        <v>0</v>
      </c>
      <c r="R16" s="30">
        <v>0</v>
      </c>
      <c r="S16" s="30">
        <v>0</v>
      </c>
      <c r="T16" s="30">
        <v>0</v>
      </c>
      <c r="U16" s="30">
        <v>0</v>
      </c>
      <c r="V16" s="30">
        <v>0</v>
      </c>
      <c r="W16" s="30">
        <v>0</v>
      </c>
      <c r="X16" s="30">
        <v>0</v>
      </c>
      <c r="Y16" s="30">
        <v>0</v>
      </c>
      <c r="Z16" s="30">
        <v>0</v>
      </c>
      <c r="AA16" s="30">
        <v>122</v>
      </c>
      <c r="AB16" s="30">
        <v>94</v>
      </c>
      <c r="AC16" s="30">
        <v>249</v>
      </c>
      <c r="AD16" s="30">
        <v>153</v>
      </c>
      <c r="AE16" s="30">
        <v>37</v>
      </c>
      <c r="AF16" s="30">
        <v>151</v>
      </c>
      <c r="AG16" s="30">
        <v>267</v>
      </c>
      <c r="AH16" s="30">
        <v>232</v>
      </c>
      <c r="AI16" s="30">
        <v>237</v>
      </c>
      <c r="AJ16" s="30">
        <v>188</v>
      </c>
      <c r="AK16" s="30">
        <v>17</v>
      </c>
      <c r="AL16" s="30">
        <v>209</v>
      </c>
      <c r="AM16" s="30">
        <v>300</v>
      </c>
      <c r="AN16" s="30">
        <v>147</v>
      </c>
      <c r="AO16" s="30">
        <v>88</v>
      </c>
      <c r="AP16" s="30">
        <v>48</v>
      </c>
      <c r="AQ16" s="30">
        <v>138</v>
      </c>
      <c r="AR16" s="30">
        <v>268</v>
      </c>
      <c r="AS16" s="30">
        <v>159</v>
      </c>
      <c r="AT16" s="30">
        <v>64</v>
      </c>
      <c r="AU16" s="30">
        <v>66</v>
      </c>
      <c r="AV16" s="30">
        <v>32</v>
      </c>
      <c r="AW16" s="30">
        <v>231</v>
      </c>
      <c r="AX16" s="30">
        <v>107</v>
      </c>
      <c r="AY16" s="30">
        <v>54</v>
      </c>
      <c r="AZ16" s="30">
        <v>1</v>
      </c>
      <c r="BA16" s="30">
        <v>7</v>
      </c>
      <c r="BB16" s="30">
        <v>124</v>
      </c>
      <c r="BC16" s="30">
        <v>149</v>
      </c>
      <c r="BD16" s="30">
        <v>67</v>
      </c>
      <c r="BE16" s="30">
        <v>277</v>
      </c>
      <c r="BF16" s="30">
        <v>19</v>
      </c>
      <c r="BG16" s="30">
        <v>52</v>
      </c>
      <c r="BH16" s="30">
        <v>116</v>
      </c>
      <c r="BI16" s="30">
        <v>2</v>
      </c>
      <c r="BJ16" s="30">
        <v>190</v>
      </c>
      <c r="BK16" s="30">
        <v>185</v>
      </c>
      <c r="BL16" s="30">
        <v>74</v>
      </c>
      <c r="BM16" s="30">
        <v>102</v>
      </c>
      <c r="BN16" s="30">
        <v>188</v>
      </c>
      <c r="BO16" s="30">
        <v>216</v>
      </c>
      <c r="BP16" s="30">
        <v>93</v>
      </c>
      <c r="BQ16" s="30">
        <v>206</v>
      </c>
      <c r="BR16" s="30">
        <v>106</v>
      </c>
      <c r="BS16" s="30">
        <v>179</v>
      </c>
      <c r="BT16" s="30">
        <v>55</v>
      </c>
      <c r="BU16" s="30">
        <v>269</v>
      </c>
      <c r="BV16" s="30">
        <v>117</v>
      </c>
      <c r="BW16" s="30">
        <v>12</v>
      </c>
      <c r="BX16" s="30">
        <v>86</v>
      </c>
      <c r="BY16" s="30"/>
    </row>
    <row r="17" spans="2:77" ht="13.15" x14ac:dyDescent="0.4">
      <c r="B17" s="29" t="s">
        <v>24</v>
      </c>
      <c r="C17" s="31">
        <v>7</v>
      </c>
      <c r="D17" s="31">
        <v>22</v>
      </c>
      <c r="E17" s="31">
        <v>31</v>
      </c>
      <c r="F17" s="31">
        <v>64</v>
      </c>
      <c r="G17" s="31">
        <v>98</v>
      </c>
      <c r="H17" s="31">
        <v>70</v>
      </c>
      <c r="I17" s="31">
        <v>34</v>
      </c>
      <c r="J17" s="31">
        <v>30</v>
      </c>
      <c r="K17" s="31">
        <v>41</v>
      </c>
      <c r="L17" s="31">
        <v>11</v>
      </c>
      <c r="M17" s="31">
        <v>100</v>
      </c>
      <c r="N17" s="31">
        <v>81</v>
      </c>
      <c r="O17" s="31">
        <v>63</v>
      </c>
      <c r="P17" s="31">
        <v>92</v>
      </c>
      <c r="Q17" s="31">
        <v>28</v>
      </c>
      <c r="R17" s="31">
        <v>50</v>
      </c>
      <c r="S17" s="31">
        <v>70</v>
      </c>
      <c r="T17" s="31">
        <v>98</v>
      </c>
      <c r="U17" s="31">
        <v>66</v>
      </c>
      <c r="V17" s="31">
        <v>35</v>
      </c>
      <c r="W17" s="31">
        <v>51</v>
      </c>
      <c r="X17" s="31">
        <v>5</v>
      </c>
      <c r="Y17" s="31">
        <v>7</v>
      </c>
      <c r="Z17" s="31">
        <v>7</v>
      </c>
      <c r="AA17" s="31">
        <v>16</v>
      </c>
      <c r="AB17" s="31">
        <v>43</v>
      </c>
      <c r="AC17" s="31">
        <v>81</v>
      </c>
      <c r="AD17" s="31">
        <v>39</v>
      </c>
      <c r="AE17" s="31">
        <v>62</v>
      </c>
      <c r="AF17" s="31">
        <v>98</v>
      </c>
      <c r="AG17" s="31">
        <v>81</v>
      </c>
      <c r="AH17" s="31">
        <v>69</v>
      </c>
      <c r="AI17" s="31">
        <v>41</v>
      </c>
      <c r="AJ17" s="31">
        <v>34</v>
      </c>
      <c r="AK17" s="31">
        <v>67</v>
      </c>
      <c r="AL17" s="31">
        <v>69</v>
      </c>
      <c r="AM17" s="31">
        <v>38</v>
      </c>
      <c r="AN17" s="31">
        <v>99</v>
      </c>
      <c r="AO17" s="31">
        <v>80</v>
      </c>
      <c r="AP17" s="31">
        <v>60</v>
      </c>
      <c r="AQ17" s="31">
        <v>54</v>
      </c>
      <c r="AR17" s="31">
        <v>74</v>
      </c>
      <c r="AS17" s="31">
        <v>16</v>
      </c>
      <c r="AT17" s="31">
        <v>42</v>
      </c>
      <c r="AU17" s="31">
        <v>92</v>
      </c>
      <c r="AV17" s="31">
        <v>21</v>
      </c>
      <c r="AW17" s="31">
        <v>39</v>
      </c>
      <c r="AX17" s="31">
        <v>10</v>
      </c>
      <c r="AY17" s="31">
        <v>11</v>
      </c>
      <c r="AZ17" s="31">
        <v>79</v>
      </c>
      <c r="BA17" s="31">
        <v>25</v>
      </c>
      <c r="BB17" s="31">
        <v>75</v>
      </c>
      <c r="BC17" s="31">
        <v>59</v>
      </c>
      <c r="BD17" s="31">
        <v>47</v>
      </c>
      <c r="BE17" s="31">
        <v>91</v>
      </c>
      <c r="BF17" s="31">
        <v>23</v>
      </c>
      <c r="BG17" s="31">
        <v>58</v>
      </c>
      <c r="BH17" s="31">
        <v>17</v>
      </c>
      <c r="BI17" s="31">
        <v>25</v>
      </c>
      <c r="BJ17" s="31">
        <v>23</v>
      </c>
      <c r="BK17" s="31">
        <v>96</v>
      </c>
      <c r="BL17" s="31">
        <v>75</v>
      </c>
      <c r="BM17" s="31">
        <v>91</v>
      </c>
      <c r="BN17" s="31">
        <v>97</v>
      </c>
      <c r="BO17" s="31">
        <v>94</v>
      </c>
      <c r="BP17" s="31">
        <v>65</v>
      </c>
      <c r="BQ17" s="31">
        <v>44</v>
      </c>
      <c r="BR17" s="31">
        <v>52</v>
      </c>
      <c r="BS17" s="31">
        <v>47</v>
      </c>
      <c r="BT17" s="31">
        <v>24</v>
      </c>
      <c r="BU17" s="31">
        <v>93</v>
      </c>
      <c r="BV17" s="31">
        <v>26</v>
      </c>
      <c r="BW17" s="31">
        <v>45</v>
      </c>
      <c r="BX17" s="31">
        <v>17</v>
      </c>
      <c r="BY17" s="31"/>
    </row>
    <row r="18" spans="2:77" x14ac:dyDescent="0.35">
      <c r="B18" s="32" t="s">
        <v>25</v>
      </c>
      <c r="C18" s="33" t="e">
        <v>#DIV/0!</v>
      </c>
      <c r="D18" s="33" t="e">
        <v>#DIV/0!</v>
      </c>
      <c r="E18" s="33" t="e">
        <v>#DIV/0!</v>
      </c>
      <c r="F18" s="33" t="e">
        <v>#DIV/0!</v>
      </c>
      <c r="G18" s="33" t="e">
        <v>#DIV/0!</v>
      </c>
      <c r="H18" s="33" t="e">
        <v>#DIV/0!</v>
      </c>
      <c r="I18" s="33" t="e">
        <v>#DIV/0!</v>
      </c>
      <c r="J18" s="33" t="e">
        <v>#DIV/0!</v>
      </c>
      <c r="K18" s="33" t="e">
        <v>#DIV/0!</v>
      </c>
      <c r="L18" s="33" t="e">
        <v>#DIV/0!</v>
      </c>
      <c r="M18" s="33" t="e">
        <v>#DIV/0!</v>
      </c>
      <c r="N18" s="33" t="e">
        <v>#DIV/0!</v>
      </c>
      <c r="O18" s="33" t="e">
        <v>#DIV/0!</v>
      </c>
      <c r="P18" s="33" t="e">
        <v>#DIV/0!</v>
      </c>
      <c r="Q18" s="33" t="e">
        <v>#DIV/0!</v>
      </c>
      <c r="R18" s="33" t="e">
        <v>#DIV/0!</v>
      </c>
      <c r="S18" s="33" t="e">
        <v>#DIV/0!</v>
      </c>
      <c r="T18" s="33" t="e">
        <v>#DIV/0!</v>
      </c>
      <c r="U18" s="33" t="e">
        <v>#DIV/0!</v>
      </c>
      <c r="V18" s="33" t="e">
        <v>#DIV/0!</v>
      </c>
      <c r="W18" s="33" t="e">
        <v>#DIV/0!</v>
      </c>
      <c r="X18" s="33" t="e">
        <v>#DIV/0!</v>
      </c>
      <c r="Y18" s="33" t="e">
        <v>#DIV/0!</v>
      </c>
      <c r="Z18" s="33" t="e">
        <v>#DIV/0!</v>
      </c>
      <c r="AA18" s="33">
        <v>0.13114754098360656</v>
      </c>
      <c r="AB18" s="33">
        <v>0.45744680851063829</v>
      </c>
      <c r="AC18" s="33">
        <v>0.3253012048192771</v>
      </c>
      <c r="AD18" s="33">
        <v>0.25490196078431371</v>
      </c>
      <c r="AE18" s="33">
        <v>1.6756756756756757</v>
      </c>
      <c r="AF18" s="33">
        <v>0.64900662251655628</v>
      </c>
      <c r="AG18" s="33">
        <v>0.30337078651685395</v>
      </c>
      <c r="AH18" s="33">
        <v>0.29741379310344829</v>
      </c>
      <c r="AI18" s="33">
        <v>0.1729957805907173</v>
      </c>
      <c r="AJ18" s="33">
        <v>0.18085106382978725</v>
      </c>
      <c r="AK18" s="33">
        <v>3.9411764705882355</v>
      </c>
      <c r="AL18" s="33">
        <v>0.33014354066985646</v>
      </c>
      <c r="AM18" s="33">
        <v>0.12666666666666668</v>
      </c>
      <c r="AN18" s="33">
        <v>0.67346938775510201</v>
      </c>
      <c r="AO18" s="33">
        <v>0.90909090909090906</v>
      </c>
      <c r="AP18" s="33">
        <v>1.25</v>
      </c>
      <c r="AQ18" s="33">
        <v>0.39130434782608697</v>
      </c>
      <c r="AR18" s="33">
        <v>0.27611940298507465</v>
      </c>
      <c r="AS18" s="33">
        <v>0.10062893081761007</v>
      </c>
      <c r="AT18" s="33">
        <v>0.65625</v>
      </c>
      <c r="AU18" s="33">
        <v>1.393939393939394</v>
      </c>
      <c r="AV18" s="33">
        <v>0.65625</v>
      </c>
      <c r="AW18" s="33">
        <v>0.16883116883116883</v>
      </c>
      <c r="AX18" s="33">
        <v>9.3457943925233641E-2</v>
      </c>
      <c r="AY18" s="33">
        <v>0.20370370370370369</v>
      </c>
      <c r="AZ18" s="33">
        <v>79</v>
      </c>
      <c r="BA18" s="33">
        <v>3.5714285714285716</v>
      </c>
      <c r="BB18" s="33">
        <v>0.60483870967741937</v>
      </c>
      <c r="BC18" s="33">
        <v>0.39597315436241609</v>
      </c>
      <c r="BD18" s="33">
        <v>0.70149253731343286</v>
      </c>
      <c r="BE18" s="33">
        <v>0.32851985559566788</v>
      </c>
      <c r="BF18" s="33">
        <v>1.2105263157894737</v>
      </c>
      <c r="BG18" s="33">
        <v>1.1153846153846154</v>
      </c>
      <c r="BH18" s="33">
        <v>0.14655172413793102</v>
      </c>
      <c r="BI18" s="33">
        <v>12.5</v>
      </c>
      <c r="BJ18" s="33">
        <v>0.12105263157894737</v>
      </c>
      <c r="BK18" s="33">
        <v>0.37449263380719111</v>
      </c>
      <c r="BL18" s="33">
        <v>0.36167017329812207</v>
      </c>
      <c r="BM18" s="33">
        <v>0.36721414121090407</v>
      </c>
      <c r="BN18" s="33">
        <v>0.35988790272753285</v>
      </c>
      <c r="BO18" s="33">
        <v>0.37950756168838629</v>
      </c>
      <c r="BP18" s="33">
        <v>0.38628965821301742</v>
      </c>
      <c r="BQ18" s="33">
        <v>0.37891805328329781</v>
      </c>
      <c r="BR18" s="33">
        <v>0.36598392500049853</v>
      </c>
      <c r="BS18" s="33">
        <v>0.35850634179689139</v>
      </c>
      <c r="BT18" s="33">
        <v>0.36980752347424517</v>
      </c>
      <c r="BU18" s="33">
        <v>0.36046538246098558</v>
      </c>
      <c r="BV18" s="33">
        <v>0.39657845814108794</v>
      </c>
      <c r="BW18" s="33">
        <v>0.3537436851204605</v>
      </c>
      <c r="BX18" s="33">
        <v>0.36701163030294609</v>
      </c>
      <c r="BY18" s="33"/>
    </row>
    <row r="19" spans="2:77" ht="13.15" x14ac:dyDescent="0.4">
      <c r="B19" s="29" t="s">
        <v>57</v>
      </c>
      <c r="C19" s="34">
        <v>7</v>
      </c>
      <c r="D19" s="34">
        <v>6</v>
      </c>
      <c r="E19" s="34">
        <v>37</v>
      </c>
      <c r="F19" s="34">
        <v>45</v>
      </c>
      <c r="G19" s="34">
        <v>28</v>
      </c>
      <c r="H19" s="34">
        <v>16</v>
      </c>
      <c r="I19" s="34">
        <v>17</v>
      </c>
      <c r="J19" s="34">
        <v>35</v>
      </c>
      <c r="K19" s="34">
        <v>16</v>
      </c>
      <c r="L19" s="34">
        <v>12</v>
      </c>
      <c r="M19" s="34">
        <v>10</v>
      </c>
      <c r="N19" s="34">
        <v>21</v>
      </c>
      <c r="O19" s="34">
        <v>12</v>
      </c>
      <c r="P19" s="34">
        <v>8</v>
      </c>
      <c r="Q19" s="34">
        <v>3</v>
      </c>
      <c r="R19" s="34">
        <v>19</v>
      </c>
      <c r="S19" s="34">
        <v>27</v>
      </c>
      <c r="T19" s="34">
        <v>42</v>
      </c>
      <c r="U19" s="34">
        <v>49</v>
      </c>
      <c r="V19" s="34">
        <v>36</v>
      </c>
      <c r="W19" s="34">
        <v>3</v>
      </c>
      <c r="X19" s="34">
        <v>19</v>
      </c>
      <c r="Y19" s="34">
        <v>32</v>
      </c>
      <c r="Z19" s="34">
        <v>37</v>
      </c>
      <c r="AA19" s="34">
        <v>34</v>
      </c>
      <c r="AB19" s="34">
        <v>41</v>
      </c>
      <c r="AC19" s="34">
        <v>45</v>
      </c>
      <c r="AD19" s="34">
        <v>38</v>
      </c>
      <c r="AE19" s="34">
        <v>23</v>
      </c>
      <c r="AF19" s="34">
        <v>8</v>
      </c>
      <c r="AG19" s="34">
        <v>21</v>
      </c>
      <c r="AH19" s="34">
        <v>28</v>
      </c>
      <c r="AI19" s="34">
        <v>39</v>
      </c>
      <c r="AJ19" s="34">
        <v>35</v>
      </c>
      <c r="AK19" s="34">
        <v>18</v>
      </c>
      <c r="AL19" s="34">
        <v>38</v>
      </c>
      <c r="AM19" s="34">
        <v>39</v>
      </c>
      <c r="AN19" s="34">
        <v>32</v>
      </c>
      <c r="AO19" s="34">
        <v>19</v>
      </c>
      <c r="AP19" s="34">
        <v>44</v>
      </c>
      <c r="AQ19" s="34">
        <v>7</v>
      </c>
      <c r="AR19" s="34">
        <v>25</v>
      </c>
      <c r="AS19" s="34">
        <v>1</v>
      </c>
      <c r="AT19" s="34">
        <v>38</v>
      </c>
      <c r="AU19" s="34">
        <v>45</v>
      </c>
      <c r="AV19" s="34">
        <v>21</v>
      </c>
      <c r="AW19" s="34">
        <v>7</v>
      </c>
      <c r="AX19" s="34">
        <v>35</v>
      </c>
      <c r="AY19" s="34">
        <v>4</v>
      </c>
      <c r="AZ19" s="34">
        <v>4</v>
      </c>
      <c r="BA19" s="34">
        <v>10</v>
      </c>
      <c r="BB19" s="34">
        <v>45</v>
      </c>
      <c r="BC19" s="34">
        <v>18</v>
      </c>
      <c r="BD19" s="34">
        <v>34</v>
      </c>
      <c r="BE19" s="34">
        <v>47</v>
      </c>
      <c r="BF19" s="34">
        <v>22</v>
      </c>
      <c r="BG19" s="34">
        <v>20</v>
      </c>
      <c r="BH19" s="34">
        <v>49</v>
      </c>
      <c r="BI19" s="34">
        <v>21</v>
      </c>
      <c r="BJ19" s="34">
        <v>1</v>
      </c>
      <c r="BK19" s="34">
        <v>37</v>
      </c>
      <c r="BL19" s="34">
        <v>3</v>
      </c>
      <c r="BM19" s="34">
        <v>21</v>
      </c>
      <c r="BN19" s="34">
        <v>47</v>
      </c>
      <c r="BO19" s="34">
        <v>46</v>
      </c>
      <c r="BP19" s="34">
        <v>27</v>
      </c>
      <c r="BQ19" s="34">
        <v>0</v>
      </c>
      <c r="BR19" s="34">
        <v>47</v>
      </c>
      <c r="BS19" s="34">
        <v>4</v>
      </c>
      <c r="BT19" s="34">
        <v>38</v>
      </c>
      <c r="BU19" s="34">
        <v>40</v>
      </c>
      <c r="BV19" s="34">
        <v>2</v>
      </c>
      <c r="BW19" s="34">
        <v>19</v>
      </c>
      <c r="BX19" s="34">
        <v>41</v>
      </c>
      <c r="BY19" s="191"/>
    </row>
    <row r="20" spans="2:77" x14ac:dyDescent="0.35">
      <c r="B20" s="35" t="s">
        <v>25</v>
      </c>
      <c r="C20" s="33" t="e">
        <v>#DIV/0!</v>
      </c>
      <c r="D20" s="33" t="e">
        <v>#DIV/0!</v>
      </c>
      <c r="E20" s="33" t="e">
        <v>#DIV/0!</v>
      </c>
      <c r="F20" s="33" t="e">
        <v>#DIV/0!</v>
      </c>
      <c r="G20" s="33" t="e">
        <v>#DIV/0!</v>
      </c>
      <c r="H20" s="33" t="e">
        <v>#DIV/0!</v>
      </c>
      <c r="I20" s="33" t="e">
        <v>#DIV/0!</v>
      </c>
      <c r="J20" s="33" t="e">
        <v>#DIV/0!</v>
      </c>
      <c r="K20" s="33" t="e">
        <v>#DIV/0!</v>
      </c>
      <c r="L20" s="33" t="e">
        <v>#DIV/0!</v>
      </c>
      <c r="M20" s="33" t="e">
        <v>#DIV/0!</v>
      </c>
      <c r="N20" s="33" t="e">
        <v>#DIV/0!</v>
      </c>
      <c r="O20" s="33" t="e">
        <v>#DIV/0!</v>
      </c>
      <c r="P20" s="33" t="e">
        <v>#DIV/0!</v>
      </c>
      <c r="Q20" s="33" t="e">
        <v>#DIV/0!</v>
      </c>
      <c r="R20" s="33" t="e">
        <v>#DIV/0!</v>
      </c>
      <c r="S20" s="33" t="e">
        <v>#DIV/0!</v>
      </c>
      <c r="T20" s="33" t="e">
        <v>#DIV/0!</v>
      </c>
      <c r="U20" s="33" t="e">
        <v>#DIV/0!</v>
      </c>
      <c r="V20" s="33" t="e">
        <v>#DIV/0!</v>
      </c>
      <c r="W20" s="33" t="e">
        <v>#DIV/0!</v>
      </c>
      <c r="X20" s="33" t="e">
        <v>#DIV/0!</v>
      </c>
      <c r="Y20" s="33" t="e">
        <v>#DIV/0!</v>
      </c>
      <c r="Z20" s="33" t="e">
        <v>#DIV/0!</v>
      </c>
      <c r="AA20" s="33">
        <v>0.27868852459016391</v>
      </c>
      <c r="AB20" s="33">
        <v>0.43617021276595747</v>
      </c>
      <c r="AC20" s="33">
        <v>0.18072289156626506</v>
      </c>
      <c r="AD20" s="33">
        <v>0.24836601307189543</v>
      </c>
      <c r="AE20" s="33">
        <v>0.6216216216216216</v>
      </c>
      <c r="AF20" s="33">
        <v>5.2980132450331126E-2</v>
      </c>
      <c r="AG20" s="33">
        <v>7.8651685393258425E-2</v>
      </c>
      <c r="AH20" s="33">
        <v>0.1206896551724138</v>
      </c>
      <c r="AI20" s="33">
        <v>0.16455696202531644</v>
      </c>
      <c r="AJ20" s="33">
        <v>0.18617021276595744</v>
      </c>
      <c r="AK20" s="33">
        <v>1.0588235294117647</v>
      </c>
      <c r="AL20" s="33">
        <v>0.18181818181818182</v>
      </c>
      <c r="AM20" s="33">
        <v>0.13</v>
      </c>
      <c r="AN20" s="33">
        <v>0.21768707482993196</v>
      </c>
      <c r="AO20" s="33">
        <v>0.21590909090909091</v>
      </c>
      <c r="AP20" s="33">
        <v>0.91666666666666663</v>
      </c>
      <c r="AQ20" s="33">
        <v>5.0724637681159424E-2</v>
      </c>
      <c r="AR20" s="33">
        <v>9.3283582089552244E-2</v>
      </c>
      <c r="AS20" s="33">
        <v>6.2893081761006293E-3</v>
      </c>
      <c r="AT20" s="33">
        <v>0.59375</v>
      </c>
      <c r="AU20" s="33">
        <v>0.68181818181818177</v>
      </c>
      <c r="AV20" s="33">
        <v>0.65625</v>
      </c>
      <c r="AW20" s="33">
        <v>3.0303030303030304E-2</v>
      </c>
      <c r="AX20" s="33">
        <v>0.32710280373831774</v>
      </c>
      <c r="AY20" s="33">
        <v>7.407407407407407E-2</v>
      </c>
      <c r="AZ20" s="33">
        <v>4</v>
      </c>
      <c r="BA20" s="33">
        <v>1.4285714285714286</v>
      </c>
      <c r="BB20" s="33">
        <v>0.36290322580645162</v>
      </c>
      <c r="BC20" s="33">
        <v>0.12080536912751678</v>
      </c>
      <c r="BD20" s="33">
        <v>0.5074626865671642</v>
      </c>
      <c r="BE20" s="33">
        <v>0.16967509025270758</v>
      </c>
      <c r="BF20" s="33">
        <v>1.1578947368421053</v>
      </c>
      <c r="BG20" s="33">
        <v>0.38461538461538464</v>
      </c>
      <c r="BH20" s="33">
        <v>0.42241379310344829</v>
      </c>
      <c r="BI20" s="33">
        <v>10.5</v>
      </c>
      <c r="BJ20" s="33">
        <v>5.263157894736842E-3</v>
      </c>
      <c r="BK20" s="33">
        <v>5.1978574568891628E-2</v>
      </c>
      <c r="BL20" s="33">
        <v>-1.2041004419372002E-2</v>
      </c>
      <c r="BM20" s="33">
        <v>2.5599611917632987E-3</v>
      </c>
      <c r="BN20" s="33">
        <v>-1.6940532321351696E-2</v>
      </c>
      <c r="BO20" s="33">
        <v>-2.003597512249488E-2</v>
      </c>
      <c r="BP20" s="33">
        <v>2.5115863644272183E-2</v>
      </c>
      <c r="BQ20" s="33">
        <v>1.4414341031572603E-2</v>
      </c>
      <c r="BR20" s="33">
        <v>1.9856508301668095E-2</v>
      </c>
      <c r="BS20" s="33">
        <v>0.1226923546748013</v>
      </c>
      <c r="BT20" s="33">
        <v>0.11640395040653147</v>
      </c>
      <c r="BU20" s="33">
        <v>0.12455088005514815</v>
      </c>
      <c r="BV20" s="33">
        <v>0.21303005851595999</v>
      </c>
      <c r="BW20" s="33">
        <v>1.5120050322421595E-3</v>
      </c>
      <c r="BX20" s="33">
        <v>-7.7679233197183147E-3</v>
      </c>
      <c r="BY20" s="33"/>
    </row>
    <row r="21" spans="2:77" ht="13.15" x14ac:dyDescent="0.4">
      <c r="B21" s="29" t="s">
        <v>27</v>
      </c>
      <c r="C21" s="34">
        <v>12</v>
      </c>
      <c r="D21" s="34">
        <v>11</v>
      </c>
      <c r="E21" s="34">
        <v>7</v>
      </c>
      <c r="F21" s="34">
        <v>4</v>
      </c>
      <c r="G21" s="34">
        <v>16</v>
      </c>
      <c r="H21" s="34">
        <v>2</v>
      </c>
      <c r="I21" s="34">
        <v>5</v>
      </c>
      <c r="J21" s="34">
        <v>0</v>
      </c>
      <c r="K21" s="34">
        <v>2</v>
      </c>
      <c r="L21" s="34">
        <v>10</v>
      </c>
      <c r="M21" s="34">
        <v>19</v>
      </c>
      <c r="N21" s="34">
        <v>5</v>
      </c>
      <c r="O21" s="34">
        <v>3</v>
      </c>
      <c r="P21" s="34">
        <v>9</v>
      </c>
      <c r="Q21" s="34">
        <v>18</v>
      </c>
      <c r="R21" s="34">
        <v>11</v>
      </c>
      <c r="S21" s="34">
        <v>18</v>
      </c>
      <c r="T21" s="34">
        <v>0</v>
      </c>
      <c r="U21" s="34">
        <v>5</v>
      </c>
      <c r="V21" s="34">
        <v>5</v>
      </c>
      <c r="W21" s="34">
        <v>5</v>
      </c>
      <c r="X21" s="34">
        <v>18</v>
      </c>
      <c r="Y21" s="34">
        <v>12</v>
      </c>
      <c r="Z21" s="34">
        <v>13</v>
      </c>
      <c r="AA21" s="34">
        <v>3</v>
      </c>
      <c r="AB21" s="34">
        <v>6</v>
      </c>
      <c r="AC21" s="34">
        <v>0</v>
      </c>
      <c r="AD21" s="34">
        <v>4</v>
      </c>
      <c r="AE21" s="34">
        <v>7</v>
      </c>
      <c r="AF21" s="34">
        <v>20</v>
      </c>
      <c r="AG21" s="34">
        <v>12</v>
      </c>
      <c r="AH21" s="34">
        <v>7</v>
      </c>
      <c r="AI21" s="34">
        <v>11</v>
      </c>
      <c r="AJ21" s="34">
        <v>6</v>
      </c>
      <c r="AK21" s="34">
        <v>17</v>
      </c>
      <c r="AL21" s="34">
        <v>3</v>
      </c>
      <c r="AM21" s="34">
        <v>7</v>
      </c>
      <c r="AN21" s="34">
        <v>18</v>
      </c>
      <c r="AO21" s="34">
        <v>6</v>
      </c>
      <c r="AP21" s="34">
        <v>9</v>
      </c>
      <c r="AQ21" s="34">
        <v>16</v>
      </c>
      <c r="AR21" s="34">
        <v>18</v>
      </c>
      <c r="AS21" s="34">
        <v>18</v>
      </c>
      <c r="AT21" s="34">
        <v>13</v>
      </c>
      <c r="AU21" s="34">
        <v>1</v>
      </c>
      <c r="AV21" s="34">
        <v>10</v>
      </c>
      <c r="AW21" s="34">
        <v>18</v>
      </c>
      <c r="AX21" s="34">
        <v>17</v>
      </c>
      <c r="AY21" s="34">
        <v>16</v>
      </c>
      <c r="AZ21" s="34">
        <v>10</v>
      </c>
      <c r="BA21" s="34">
        <v>13</v>
      </c>
      <c r="BB21" s="34">
        <v>12</v>
      </c>
      <c r="BC21" s="34">
        <v>6</v>
      </c>
      <c r="BD21" s="34">
        <v>2</v>
      </c>
      <c r="BE21" s="34">
        <v>1</v>
      </c>
      <c r="BF21" s="34">
        <v>14</v>
      </c>
      <c r="BG21" s="34">
        <v>10</v>
      </c>
      <c r="BH21" s="34">
        <v>12</v>
      </c>
      <c r="BI21" s="34">
        <v>19</v>
      </c>
      <c r="BJ21" s="34">
        <v>15</v>
      </c>
      <c r="BK21" s="34">
        <v>6</v>
      </c>
      <c r="BL21" s="34">
        <v>3</v>
      </c>
      <c r="BM21" s="34">
        <v>19</v>
      </c>
      <c r="BN21" s="34">
        <v>4</v>
      </c>
      <c r="BO21" s="34">
        <v>2</v>
      </c>
      <c r="BP21" s="34">
        <v>13</v>
      </c>
      <c r="BQ21" s="34">
        <v>1</v>
      </c>
      <c r="BR21" s="34">
        <v>12</v>
      </c>
      <c r="BS21" s="34">
        <v>12</v>
      </c>
      <c r="BT21" s="34">
        <v>17</v>
      </c>
      <c r="BU21" s="34">
        <v>16</v>
      </c>
      <c r="BV21" s="34">
        <v>3</v>
      </c>
      <c r="BW21" s="34">
        <v>10</v>
      </c>
      <c r="BX21" s="34">
        <v>9</v>
      </c>
      <c r="BY21" s="34"/>
    </row>
    <row r="22" spans="2:77" ht="13.15" x14ac:dyDescent="0.4">
      <c r="B22" s="29" t="s">
        <v>58</v>
      </c>
      <c r="C22" s="36">
        <v>921</v>
      </c>
      <c r="D22" s="36">
        <v>910</v>
      </c>
      <c r="E22" s="36">
        <v>874</v>
      </c>
      <c r="F22" s="36">
        <v>920</v>
      </c>
      <c r="G22" s="36">
        <v>957</v>
      </c>
      <c r="H22" s="36">
        <v>906</v>
      </c>
      <c r="I22" s="36">
        <v>915</v>
      </c>
      <c r="J22" s="36">
        <v>955</v>
      </c>
      <c r="K22" s="36">
        <v>924</v>
      </c>
      <c r="L22" s="36">
        <v>967</v>
      </c>
      <c r="M22" s="36">
        <v>964</v>
      </c>
      <c r="N22" s="36">
        <v>874</v>
      </c>
      <c r="O22" s="36">
        <v>909</v>
      </c>
      <c r="P22" s="36">
        <v>875</v>
      </c>
      <c r="Q22" s="36">
        <v>947</v>
      </c>
      <c r="R22" s="36">
        <v>947</v>
      </c>
      <c r="S22" s="36">
        <v>962</v>
      </c>
      <c r="T22" s="36">
        <v>891</v>
      </c>
      <c r="U22" s="36">
        <v>900</v>
      </c>
      <c r="V22" s="36">
        <v>886</v>
      </c>
      <c r="W22" s="36">
        <v>954</v>
      </c>
      <c r="X22" s="36">
        <v>874</v>
      </c>
      <c r="Y22" s="36">
        <v>888</v>
      </c>
      <c r="Z22" s="36">
        <v>895</v>
      </c>
      <c r="AA22" s="36">
        <v>902</v>
      </c>
      <c r="AB22" s="36">
        <v>893</v>
      </c>
      <c r="AC22" s="36">
        <v>962</v>
      </c>
      <c r="AD22" s="36">
        <v>944</v>
      </c>
      <c r="AE22" s="36">
        <v>924</v>
      </c>
      <c r="AF22" s="36">
        <v>916</v>
      </c>
      <c r="AG22" s="36">
        <v>957</v>
      </c>
      <c r="AH22" s="36">
        <v>916</v>
      </c>
      <c r="AI22" s="36">
        <v>926</v>
      </c>
      <c r="AJ22" s="36">
        <v>944</v>
      </c>
      <c r="AK22" s="36">
        <v>878</v>
      </c>
      <c r="AL22" s="36">
        <v>961</v>
      </c>
      <c r="AM22" s="36">
        <v>888</v>
      </c>
      <c r="AN22" s="36">
        <v>927</v>
      </c>
      <c r="AO22" s="36">
        <v>937</v>
      </c>
      <c r="AP22" s="36">
        <v>895</v>
      </c>
      <c r="AQ22" s="36">
        <v>941</v>
      </c>
      <c r="AR22" s="36">
        <v>959</v>
      </c>
      <c r="AS22" s="36">
        <v>891</v>
      </c>
      <c r="AT22" s="36">
        <v>901</v>
      </c>
      <c r="AU22" s="36">
        <v>921</v>
      </c>
      <c r="AV22" s="36">
        <v>875</v>
      </c>
      <c r="AW22" s="36">
        <v>942</v>
      </c>
      <c r="AX22" s="36">
        <v>942</v>
      </c>
      <c r="AY22" s="36">
        <v>956</v>
      </c>
      <c r="AZ22" s="36">
        <v>895</v>
      </c>
      <c r="BA22" s="36">
        <v>933</v>
      </c>
      <c r="BB22" s="36">
        <v>876</v>
      </c>
      <c r="BC22" s="36">
        <v>884</v>
      </c>
      <c r="BD22" s="36">
        <v>925</v>
      </c>
      <c r="BE22" s="36">
        <v>913</v>
      </c>
      <c r="BF22" s="36">
        <v>943</v>
      </c>
      <c r="BG22" s="36">
        <v>915</v>
      </c>
      <c r="BH22" s="36">
        <v>934</v>
      </c>
      <c r="BI22" s="36">
        <v>883</v>
      </c>
      <c r="BJ22" s="36">
        <v>957</v>
      </c>
      <c r="BK22" s="36">
        <v>965</v>
      </c>
      <c r="BL22" s="36">
        <v>928</v>
      </c>
      <c r="BM22" s="36">
        <v>965</v>
      </c>
      <c r="BN22" s="36">
        <v>968</v>
      </c>
      <c r="BO22" s="36">
        <v>918</v>
      </c>
      <c r="BP22" s="36">
        <v>933</v>
      </c>
      <c r="BQ22" s="36">
        <v>914</v>
      </c>
      <c r="BR22" s="36">
        <v>940</v>
      </c>
      <c r="BS22" s="36">
        <v>962</v>
      </c>
      <c r="BT22" s="36">
        <v>950</v>
      </c>
      <c r="BU22" s="36">
        <v>945</v>
      </c>
      <c r="BV22" s="36">
        <v>959</v>
      </c>
      <c r="BW22" s="36">
        <v>970</v>
      </c>
      <c r="BX22" s="36">
        <v>893</v>
      </c>
      <c r="BY22" s="36"/>
    </row>
    <row r="23" spans="2:77" x14ac:dyDescent="0.35">
      <c r="B23" s="37" t="s">
        <v>59</v>
      </c>
      <c r="C23" s="38">
        <v>972</v>
      </c>
      <c r="D23" s="38">
        <v>972</v>
      </c>
      <c r="E23" s="38">
        <v>972</v>
      </c>
      <c r="F23" s="38">
        <v>972</v>
      </c>
      <c r="G23" s="38">
        <v>972</v>
      </c>
      <c r="H23" s="38">
        <v>972</v>
      </c>
      <c r="I23" s="38">
        <v>972</v>
      </c>
      <c r="J23" s="38">
        <v>972</v>
      </c>
      <c r="K23" s="38">
        <v>972</v>
      </c>
      <c r="L23" s="38">
        <v>972</v>
      </c>
      <c r="M23" s="38">
        <v>972</v>
      </c>
      <c r="N23" s="38">
        <v>972</v>
      </c>
      <c r="O23" s="38">
        <v>972</v>
      </c>
      <c r="P23" s="38">
        <v>972</v>
      </c>
      <c r="Q23" s="38">
        <v>972</v>
      </c>
      <c r="R23" s="38">
        <v>972</v>
      </c>
      <c r="S23" s="38">
        <v>972</v>
      </c>
      <c r="T23" s="38">
        <v>972</v>
      </c>
      <c r="U23" s="38">
        <v>972</v>
      </c>
      <c r="V23" s="38">
        <v>972</v>
      </c>
      <c r="W23" s="38">
        <v>972</v>
      </c>
      <c r="X23" s="38">
        <v>972</v>
      </c>
      <c r="Y23" s="38">
        <v>972</v>
      </c>
      <c r="Z23" s="38">
        <v>972</v>
      </c>
      <c r="AA23" s="38">
        <v>972</v>
      </c>
      <c r="AB23" s="38">
        <v>972</v>
      </c>
      <c r="AC23" s="38">
        <v>972</v>
      </c>
      <c r="AD23" s="38">
        <v>972</v>
      </c>
      <c r="AE23" s="38">
        <v>972</v>
      </c>
      <c r="AF23" s="38">
        <v>972</v>
      </c>
      <c r="AG23" s="38">
        <v>972</v>
      </c>
      <c r="AH23" s="38">
        <v>972</v>
      </c>
      <c r="AI23" s="38">
        <v>972</v>
      </c>
      <c r="AJ23" s="38">
        <v>972</v>
      </c>
      <c r="AK23" s="38">
        <v>972</v>
      </c>
      <c r="AL23" s="38">
        <v>972</v>
      </c>
      <c r="AM23" s="38">
        <v>972</v>
      </c>
      <c r="AN23" s="38">
        <v>972</v>
      </c>
      <c r="AO23" s="38">
        <v>972</v>
      </c>
      <c r="AP23" s="38">
        <v>972</v>
      </c>
      <c r="AQ23" s="38">
        <v>972</v>
      </c>
      <c r="AR23" s="38">
        <v>972</v>
      </c>
      <c r="AS23" s="38">
        <v>972</v>
      </c>
      <c r="AT23" s="38">
        <v>972</v>
      </c>
      <c r="AU23" s="38">
        <v>972</v>
      </c>
      <c r="AV23" s="38">
        <v>972</v>
      </c>
      <c r="AW23" s="38">
        <v>972</v>
      </c>
      <c r="AX23" s="38">
        <v>972</v>
      </c>
      <c r="AY23" s="38">
        <v>972</v>
      </c>
      <c r="AZ23" s="38">
        <v>972</v>
      </c>
      <c r="BA23" s="38">
        <v>972</v>
      </c>
      <c r="BB23" s="38">
        <v>972</v>
      </c>
      <c r="BC23" s="38">
        <v>972</v>
      </c>
      <c r="BD23" s="38">
        <v>972</v>
      </c>
      <c r="BE23" s="38">
        <v>972</v>
      </c>
      <c r="BF23" s="38">
        <v>972</v>
      </c>
      <c r="BG23" s="38">
        <v>972</v>
      </c>
      <c r="BH23" s="38">
        <v>972</v>
      </c>
      <c r="BI23" s="38">
        <v>972</v>
      </c>
      <c r="BJ23" s="38">
        <v>972</v>
      </c>
      <c r="BK23" s="38">
        <v>972</v>
      </c>
      <c r="BL23" s="38">
        <v>972</v>
      </c>
      <c r="BM23" s="38">
        <v>972</v>
      </c>
      <c r="BN23" s="38">
        <v>972</v>
      </c>
      <c r="BO23" s="38">
        <v>972</v>
      </c>
      <c r="BP23" s="38">
        <v>972</v>
      </c>
      <c r="BQ23" s="38">
        <v>972</v>
      </c>
      <c r="BR23" s="38">
        <v>972</v>
      </c>
      <c r="BS23" s="38">
        <v>972</v>
      </c>
      <c r="BT23" s="38">
        <v>972</v>
      </c>
      <c r="BU23" s="38">
        <v>972</v>
      </c>
      <c r="BV23" s="38">
        <v>972</v>
      </c>
      <c r="BW23" s="38">
        <v>972</v>
      </c>
      <c r="BX23" s="38">
        <v>972</v>
      </c>
      <c r="BY23" s="38"/>
    </row>
    <row r="24" spans="2:77" x14ac:dyDescent="0.35">
      <c r="B24" s="37" t="s">
        <v>50</v>
      </c>
      <c r="C24" s="38">
        <v>51</v>
      </c>
      <c r="D24" s="38">
        <v>62</v>
      </c>
      <c r="E24" s="38">
        <v>98</v>
      </c>
      <c r="F24" s="38">
        <v>52</v>
      </c>
      <c r="G24" s="38">
        <v>15</v>
      </c>
      <c r="H24" s="38">
        <v>66</v>
      </c>
      <c r="I24" s="38">
        <v>57</v>
      </c>
      <c r="J24" s="38">
        <v>17</v>
      </c>
      <c r="K24" s="38">
        <v>48</v>
      </c>
      <c r="L24" s="38">
        <v>5</v>
      </c>
      <c r="M24" s="38">
        <v>8</v>
      </c>
      <c r="N24" s="38">
        <v>98</v>
      </c>
      <c r="O24" s="38">
        <v>63</v>
      </c>
      <c r="P24" s="38">
        <v>97</v>
      </c>
      <c r="Q24" s="38">
        <v>25</v>
      </c>
      <c r="R24" s="38">
        <v>25</v>
      </c>
      <c r="S24" s="38">
        <v>10</v>
      </c>
      <c r="T24" s="38">
        <v>81</v>
      </c>
      <c r="U24" s="38">
        <v>72</v>
      </c>
      <c r="V24" s="38">
        <v>86</v>
      </c>
      <c r="W24" s="38">
        <v>18</v>
      </c>
      <c r="X24" s="38">
        <v>98</v>
      </c>
      <c r="Y24" s="38">
        <v>84</v>
      </c>
      <c r="Z24" s="38">
        <v>77</v>
      </c>
      <c r="AA24" s="38">
        <v>70</v>
      </c>
      <c r="AB24" s="38">
        <v>79</v>
      </c>
      <c r="AC24" s="38">
        <v>10</v>
      </c>
      <c r="AD24" s="38">
        <v>28</v>
      </c>
      <c r="AE24" s="38">
        <v>48</v>
      </c>
      <c r="AF24" s="38">
        <v>56</v>
      </c>
      <c r="AG24" s="38">
        <v>15</v>
      </c>
      <c r="AH24" s="38">
        <v>56</v>
      </c>
      <c r="AI24" s="38">
        <v>46</v>
      </c>
      <c r="AJ24" s="38">
        <v>28</v>
      </c>
      <c r="AK24" s="38">
        <v>94</v>
      </c>
      <c r="AL24" s="38">
        <v>11</v>
      </c>
      <c r="AM24" s="38">
        <v>84</v>
      </c>
      <c r="AN24" s="38">
        <v>45</v>
      </c>
      <c r="AO24" s="38">
        <v>35</v>
      </c>
      <c r="AP24" s="38">
        <v>77</v>
      </c>
      <c r="AQ24" s="38">
        <v>31</v>
      </c>
      <c r="AR24" s="38">
        <v>13</v>
      </c>
      <c r="AS24" s="38">
        <v>81</v>
      </c>
      <c r="AT24" s="38">
        <v>71</v>
      </c>
      <c r="AU24" s="38">
        <v>51</v>
      </c>
      <c r="AV24" s="38">
        <v>97</v>
      </c>
      <c r="AW24" s="38">
        <v>30</v>
      </c>
      <c r="AX24" s="38">
        <v>30</v>
      </c>
      <c r="AY24" s="38">
        <v>16</v>
      </c>
      <c r="AZ24" s="38">
        <v>77</v>
      </c>
      <c r="BA24" s="38">
        <v>39</v>
      </c>
      <c r="BB24" s="38">
        <v>96</v>
      </c>
      <c r="BC24" s="38">
        <v>88</v>
      </c>
      <c r="BD24" s="38">
        <v>47</v>
      </c>
      <c r="BE24" s="38">
        <v>59</v>
      </c>
      <c r="BF24" s="38">
        <v>29</v>
      </c>
      <c r="BG24" s="38">
        <v>57</v>
      </c>
      <c r="BH24" s="38">
        <v>38</v>
      </c>
      <c r="BI24" s="38">
        <v>89</v>
      </c>
      <c r="BJ24" s="38">
        <v>15</v>
      </c>
      <c r="BK24" s="38">
        <v>7</v>
      </c>
      <c r="BL24" s="38">
        <v>44</v>
      </c>
      <c r="BM24" s="38">
        <v>7</v>
      </c>
      <c r="BN24" s="38">
        <v>4</v>
      </c>
      <c r="BO24" s="38">
        <v>54</v>
      </c>
      <c r="BP24" s="38">
        <v>39</v>
      </c>
      <c r="BQ24" s="38">
        <v>58</v>
      </c>
      <c r="BR24" s="38">
        <v>32</v>
      </c>
      <c r="BS24" s="38">
        <v>10</v>
      </c>
      <c r="BT24" s="38">
        <v>22</v>
      </c>
      <c r="BU24" s="38">
        <v>27</v>
      </c>
      <c r="BV24" s="38">
        <v>13</v>
      </c>
      <c r="BW24" s="38">
        <v>2</v>
      </c>
      <c r="BX24" s="38">
        <v>79</v>
      </c>
      <c r="BY24" s="38"/>
    </row>
    <row r="25" spans="2:77" x14ac:dyDescent="0.35">
      <c r="B25" s="35" t="s">
        <v>29</v>
      </c>
      <c r="C25" s="39"/>
      <c r="D25" s="39"/>
      <c r="E25" s="39"/>
      <c r="F25" s="39"/>
      <c r="G25" s="39"/>
      <c r="H25" s="39"/>
      <c r="I25" s="39"/>
      <c r="J25" s="39"/>
      <c r="K25" s="39"/>
      <c r="L25" s="39"/>
      <c r="M25" s="39"/>
      <c r="N25" s="39"/>
      <c r="O25" s="148">
        <v>3.5647058823529414</v>
      </c>
      <c r="P25" s="148">
        <v>3.404669260700389</v>
      </c>
      <c r="Q25" s="148">
        <v>4.246636771300448</v>
      </c>
      <c r="R25" s="148">
        <v>4.8071065989847712</v>
      </c>
      <c r="S25" s="148">
        <v>4.908163265306122</v>
      </c>
      <c r="T25" s="148">
        <v>4.0135135135135132</v>
      </c>
      <c r="U25" s="148">
        <v>3.5433070866141732</v>
      </c>
      <c r="V25" s="148">
        <v>3.4745098039215687</v>
      </c>
      <c r="W25" s="148">
        <v>3.9421487603305785</v>
      </c>
      <c r="X25" s="148">
        <v>3.5100401606425704</v>
      </c>
      <c r="Y25" s="148">
        <v>3.2767527675276753</v>
      </c>
      <c r="Z25" s="148">
        <v>3.1184668989547037</v>
      </c>
      <c r="AA25" s="148">
        <v>2.9190938511326863</v>
      </c>
      <c r="AB25" s="148">
        <v>2.6111111111111112</v>
      </c>
      <c r="AC25" s="148">
        <v>2.5052083333333335</v>
      </c>
      <c r="AD25" s="148">
        <v>2.3424317617866004</v>
      </c>
      <c r="AE25" s="148">
        <v>2.3157894736842106</v>
      </c>
      <c r="AF25" s="148">
        <v>2.5095890410958903</v>
      </c>
      <c r="AG25" s="148">
        <v>2.8397626112759644</v>
      </c>
      <c r="AH25" s="148">
        <v>2.7841945288753798</v>
      </c>
      <c r="AI25" s="148">
        <v>2.536986301369863</v>
      </c>
      <c r="AJ25" s="148">
        <v>2.4776902887139109</v>
      </c>
      <c r="AK25" s="148">
        <v>2.3923705722070845</v>
      </c>
      <c r="AL25" s="148">
        <v>2.6114130434782608</v>
      </c>
      <c r="AM25" s="148">
        <v>2.657183826996024</v>
      </c>
      <c r="AN25" s="148">
        <v>3.1780362320840396</v>
      </c>
      <c r="AO25" s="148">
        <v>3.9056927588815893</v>
      </c>
      <c r="AP25" s="148">
        <v>4.3562407535120871</v>
      </c>
      <c r="AQ25" s="148">
        <v>5.3535448981986651</v>
      </c>
      <c r="AR25" s="148">
        <v>5.7310626576621848</v>
      </c>
      <c r="AS25" s="148">
        <v>6.3921174096254365</v>
      </c>
      <c r="AT25" s="148">
        <v>7.687516925819164</v>
      </c>
      <c r="AU25" s="148">
        <v>10.101485720397438</v>
      </c>
      <c r="AV25" s="148">
        <v>11.420379461026334</v>
      </c>
      <c r="AW25" s="148">
        <v>8.7525127143104715</v>
      </c>
      <c r="AX25" s="148">
        <v>4.6911393232961016</v>
      </c>
      <c r="AY25" s="148">
        <v>4.6219187701689517</v>
      </c>
      <c r="AZ25" s="148">
        <v>4.1551305776285812</v>
      </c>
      <c r="BA25" s="148">
        <v>3.9670536905910994</v>
      </c>
      <c r="BB25" s="148">
        <v>3.1080080831677583</v>
      </c>
      <c r="BC25" s="148">
        <v>2.8367888599597464</v>
      </c>
      <c r="BD25" s="148">
        <v>2.6494802323446121</v>
      </c>
      <c r="BE25" s="148">
        <v>2.2194278288985023</v>
      </c>
      <c r="BF25" s="148">
        <v>2.1986249851547806</v>
      </c>
      <c r="BG25" s="148">
        <v>2.0868808508640226</v>
      </c>
      <c r="BH25" s="148">
        <v>2.0054134627651505</v>
      </c>
      <c r="BI25" s="148">
        <v>2.0240357446127435</v>
      </c>
      <c r="BJ25" s="148">
        <v>3.1114577533126253</v>
      </c>
      <c r="BK25" s="148">
        <v>2.8511160901209442</v>
      </c>
      <c r="BL25" s="148">
        <v>2.7748259898518555</v>
      </c>
      <c r="BM25" s="148">
        <v>2.8174054361356391</v>
      </c>
      <c r="BN25" s="148">
        <v>2.8523897594503316</v>
      </c>
      <c r="BO25" s="148">
        <v>2.5331182168026389</v>
      </c>
      <c r="BP25" s="148">
        <v>2.785282834675423</v>
      </c>
      <c r="BQ25" s="148">
        <v>2.6989215179644366</v>
      </c>
      <c r="BR25" s="148">
        <v>2.8004508715023695</v>
      </c>
      <c r="BS25" s="148">
        <v>2.7325367704884589</v>
      </c>
      <c r="BT25" s="148">
        <v>2.5538795610520264</v>
      </c>
      <c r="BU25" s="148">
        <v>2.9423065794098675</v>
      </c>
      <c r="BV25" s="148">
        <v>2.9423529349360762</v>
      </c>
      <c r="BW25" s="148">
        <v>3.3540634729243881</v>
      </c>
      <c r="BX25" s="148">
        <v>3.1409481676151221</v>
      </c>
      <c r="BY25" s="148"/>
    </row>
    <row r="26" spans="2:77" x14ac:dyDescent="0.35">
      <c r="B26" s="35"/>
      <c r="BW26" s="196"/>
      <c r="BX26" s="196"/>
      <c r="BY26" s="196"/>
    </row>
    <row r="27" spans="2:77" x14ac:dyDescent="0.35">
      <c r="B27" s="35"/>
    </row>
    <row r="28" spans="2:77" x14ac:dyDescent="0.35">
      <c r="B28" s="35"/>
    </row>
    <row r="29" spans="2:77" ht="13.15" collapsed="1" x14ac:dyDescent="0.4">
      <c r="B29" s="124" t="s">
        <v>60</v>
      </c>
      <c r="C29" s="125">
        <f t="shared" ref="C29:AL29" si="108">C19-C68</f>
        <v>7</v>
      </c>
      <c r="D29" s="125">
        <f t="shared" si="108"/>
        <v>6</v>
      </c>
      <c r="E29" s="125">
        <f t="shared" si="108"/>
        <v>37</v>
      </c>
      <c r="F29" s="125">
        <f t="shared" si="108"/>
        <v>45</v>
      </c>
      <c r="G29" s="125">
        <f t="shared" si="108"/>
        <v>28</v>
      </c>
      <c r="H29" s="125">
        <f t="shared" si="108"/>
        <v>16</v>
      </c>
      <c r="I29" s="125">
        <f t="shared" si="108"/>
        <v>17</v>
      </c>
      <c r="J29" s="125">
        <f t="shared" si="108"/>
        <v>35</v>
      </c>
      <c r="K29" s="125">
        <f t="shared" si="108"/>
        <v>16</v>
      </c>
      <c r="L29" s="125">
        <f t="shared" si="108"/>
        <v>12</v>
      </c>
      <c r="M29" s="125">
        <f t="shared" si="108"/>
        <v>10</v>
      </c>
      <c r="N29" s="125">
        <f t="shared" si="108"/>
        <v>21</v>
      </c>
      <c r="O29" s="125">
        <f t="shared" si="108"/>
        <v>12</v>
      </c>
      <c r="P29" s="125">
        <f t="shared" si="108"/>
        <v>8</v>
      </c>
      <c r="Q29" s="125">
        <f t="shared" si="108"/>
        <v>3</v>
      </c>
      <c r="R29" s="125">
        <f t="shared" si="108"/>
        <v>19</v>
      </c>
      <c r="S29" s="125">
        <f t="shared" si="108"/>
        <v>27</v>
      </c>
      <c r="T29" s="125">
        <f t="shared" si="108"/>
        <v>42</v>
      </c>
      <c r="U29" s="125">
        <f t="shared" si="108"/>
        <v>49</v>
      </c>
      <c r="V29" s="125">
        <f t="shared" si="108"/>
        <v>36</v>
      </c>
      <c r="W29" s="125">
        <f t="shared" si="108"/>
        <v>3</v>
      </c>
      <c r="X29" s="125">
        <f t="shared" si="108"/>
        <v>19</v>
      </c>
      <c r="Y29" s="125">
        <f t="shared" si="108"/>
        <v>32</v>
      </c>
      <c r="Z29" s="125">
        <f t="shared" si="108"/>
        <v>37</v>
      </c>
      <c r="AA29" s="125">
        <f t="shared" si="108"/>
        <v>34</v>
      </c>
      <c r="AB29" s="125">
        <f t="shared" si="108"/>
        <v>41</v>
      </c>
      <c r="AC29" s="125">
        <f t="shared" si="108"/>
        <v>45</v>
      </c>
      <c r="AD29" s="125">
        <f t="shared" si="108"/>
        <v>38</v>
      </c>
      <c r="AE29" s="125">
        <f t="shared" si="108"/>
        <v>23</v>
      </c>
      <c r="AF29" s="125">
        <f t="shared" si="108"/>
        <v>8</v>
      </c>
      <c r="AG29" s="125">
        <f t="shared" si="108"/>
        <v>21</v>
      </c>
      <c r="AH29" s="125">
        <f t="shared" si="108"/>
        <v>28</v>
      </c>
      <c r="AI29" s="125">
        <f t="shared" si="108"/>
        <v>39</v>
      </c>
      <c r="AJ29" s="125">
        <f t="shared" si="108"/>
        <v>35</v>
      </c>
      <c r="AK29" s="125">
        <f t="shared" si="108"/>
        <v>18</v>
      </c>
      <c r="AL29" s="125">
        <f t="shared" si="108"/>
        <v>38</v>
      </c>
      <c r="AM29" s="125">
        <v>0.18839561578019026</v>
      </c>
      <c r="AN29" s="125">
        <v>-1.4988325323198568</v>
      </c>
      <c r="AO29" s="125">
        <v>-6.7833395667099801</v>
      </c>
      <c r="AP29" s="125">
        <v>3.5461494446001498</v>
      </c>
      <c r="AQ29" s="125">
        <v>-6.6809882258599975</v>
      </c>
      <c r="AR29" s="125">
        <v>-0.43767067848957453</v>
      </c>
      <c r="AS29" s="125">
        <v>-6.9432831712499539</v>
      </c>
      <c r="AT29" s="125">
        <v>5.8125630971196891</v>
      </c>
      <c r="AU29" s="125">
        <v>12.971712935763033</v>
      </c>
      <c r="AV29" s="125">
        <v>20.442712229833454</v>
      </c>
      <c r="AW29" s="125">
        <v>49.008816967684716</v>
      </c>
      <c r="AX29" s="125">
        <v>131.17786179713062</v>
      </c>
      <c r="AY29" s="125">
        <f t="shared" ref="AY29:BV29" si="109">AY19-AY68</f>
        <v>6.2248000000000001</v>
      </c>
      <c r="AZ29" s="125">
        <f t="shared" si="109"/>
        <v>7.0570247500000001</v>
      </c>
      <c r="BA29" s="125">
        <f t="shared" si="109"/>
        <v>13.007437899999999</v>
      </c>
      <c r="BB29" s="125">
        <f t="shared" si="109"/>
        <v>50.21156122</v>
      </c>
      <c r="BC29" s="125">
        <f t="shared" si="109"/>
        <v>23.086411999999999</v>
      </c>
      <c r="BD29" s="125">
        <f t="shared" si="109"/>
        <v>37.067461000000002</v>
      </c>
      <c r="BE29" s="125">
        <f t="shared" si="109"/>
        <v>55.298921</v>
      </c>
      <c r="BF29" s="125">
        <f t="shared" si="109"/>
        <v>23.349710000000002</v>
      </c>
      <c r="BG29" s="125">
        <f t="shared" si="109"/>
        <v>22.520679000000001</v>
      </c>
      <c r="BH29" s="125">
        <f t="shared" si="109"/>
        <v>47.728682999999997</v>
      </c>
      <c r="BI29" s="193">
        <f t="shared" si="109"/>
        <v>19.526565999999999</v>
      </c>
      <c r="BJ29" s="193">
        <f t="shared" si="109"/>
        <v>2.493617</v>
      </c>
      <c r="BK29" s="193">
        <f t="shared" si="109"/>
        <v>37.115872299999999</v>
      </c>
      <c r="BL29" s="193">
        <f t="shared" si="109"/>
        <v>3.0284652200000002</v>
      </c>
      <c r="BM29" s="193">
        <f t="shared" si="109"/>
        <v>21.085766339999999</v>
      </c>
      <c r="BN29" s="193">
        <f t="shared" si="109"/>
        <v>47.062408660000003</v>
      </c>
      <c r="BO29" s="193">
        <f t="shared" si="109"/>
        <v>46.121044449999999</v>
      </c>
      <c r="BP29" s="193">
        <f t="shared" si="109"/>
        <v>27.317432360000002</v>
      </c>
      <c r="BQ29" s="193">
        <f t="shared" si="109"/>
        <v>0.17191128</v>
      </c>
      <c r="BR29" s="193">
        <f t="shared" si="109"/>
        <v>47.316747890000002</v>
      </c>
      <c r="BS29" s="193">
        <f t="shared" si="109"/>
        <v>6.06090777</v>
      </c>
      <c r="BT29" s="193">
        <f t="shared" si="109"/>
        <v>39.28408194</v>
      </c>
      <c r="BU29" s="125">
        <f t="shared" si="109"/>
        <v>44.118336859999999</v>
      </c>
      <c r="BV29" s="125">
        <f t="shared" si="109"/>
        <v>7.24665377</v>
      </c>
      <c r="BW29" s="197">
        <v>0.38768756811128091</v>
      </c>
      <c r="BX29" s="197">
        <v>-1.863925587800914</v>
      </c>
      <c r="BY29" s="197"/>
    </row>
    <row r="30" spans="2:77" hidden="1" outlineLevel="1" collapsed="1" x14ac:dyDescent="0.35">
      <c r="C30" s="41"/>
      <c r="D30" s="41"/>
      <c r="E30" s="41"/>
      <c r="F30" s="41"/>
      <c r="G30" s="41"/>
    </row>
    <row r="31" spans="2:77" ht="13.15" hidden="1" outlineLevel="2" x14ac:dyDescent="0.4">
      <c r="B31" s="40" t="s">
        <v>61</v>
      </c>
      <c r="C31" s="41"/>
      <c r="D31" s="41"/>
      <c r="E31" s="41"/>
      <c r="F31" s="41"/>
      <c r="G31" s="41"/>
    </row>
    <row r="32" spans="2:77" hidden="1" outlineLevel="2" x14ac:dyDescent="0.35">
      <c r="B32" s="63" t="s">
        <v>62</v>
      </c>
      <c r="C32" s="41">
        <v>0</v>
      </c>
      <c r="D32" s="41">
        <v>0</v>
      </c>
      <c r="E32" s="41">
        <v>0</v>
      </c>
      <c r="F32" s="41">
        <v>0</v>
      </c>
      <c r="G32" s="41">
        <v>0</v>
      </c>
      <c r="H32" s="41">
        <v>0</v>
      </c>
      <c r="I32" s="69">
        <v>0</v>
      </c>
      <c r="J32" s="69">
        <v>0</v>
      </c>
      <c r="K32" s="69">
        <v>0</v>
      </c>
      <c r="L32" s="69">
        <v>0</v>
      </c>
      <c r="M32" s="69">
        <v>0</v>
      </c>
      <c r="N32" s="69">
        <v>0</v>
      </c>
      <c r="O32" s="69"/>
      <c r="P32" s="69"/>
      <c r="Q32" s="69"/>
      <c r="R32" s="69"/>
      <c r="S32" s="69"/>
      <c r="T32" s="69"/>
      <c r="U32" s="69"/>
      <c r="V32" s="69"/>
      <c r="W32" s="69"/>
      <c r="X32" s="69"/>
      <c r="Y32" s="69"/>
      <c r="Z32" s="69"/>
      <c r="AA32" s="69"/>
      <c r="AB32" s="69"/>
      <c r="AC32" s="69"/>
      <c r="AD32" s="69"/>
      <c r="AE32" s="69"/>
      <c r="AF32" s="69"/>
      <c r="AG32" s="69"/>
      <c r="AH32" s="69"/>
      <c r="AI32" s="69"/>
      <c r="AJ32" s="69"/>
      <c r="AK32" s="69"/>
      <c r="AL32" s="69"/>
      <c r="AM32" s="69"/>
      <c r="AN32" s="69"/>
      <c r="AO32" s="69"/>
      <c r="AP32" s="69"/>
      <c r="AQ32" s="69"/>
      <c r="AR32" s="69"/>
      <c r="AS32" s="69"/>
      <c r="AT32" s="69"/>
      <c r="AU32" s="69"/>
      <c r="AV32" s="69"/>
      <c r="AW32" s="69"/>
      <c r="AX32" s="69"/>
      <c r="AY32" s="69"/>
      <c r="AZ32" s="69"/>
      <c r="BA32" s="69"/>
      <c r="BB32" s="69"/>
      <c r="BC32" s="69"/>
      <c r="BD32" s="69"/>
      <c r="BE32" s="69"/>
      <c r="BF32" s="69"/>
      <c r="BG32" s="69"/>
      <c r="BH32" s="69"/>
      <c r="BI32" s="69"/>
      <c r="BJ32" s="69"/>
      <c r="BK32" s="69"/>
      <c r="BL32" s="69"/>
      <c r="BM32" s="69"/>
      <c r="BN32" s="69"/>
      <c r="BO32" s="69"/>
      <c r="BP32" s="69"/>
      <c r="BQ32" s="69"/>
      <c r="BR32" s="69"/>
      <c r="BS32" s="69"/>
      <c r="BT32" s="69"/>
      <c r="BU32" s="69"/>
      <c r="BV32" s="69"/>
    </row>
    <row r="33" spans="2:74" hidden="1" outlineLevel="2" x14ac:dyDescent="0.35">
      <c r="B33" s="63" t="s">
        <v>63</v>
      </c>
      <c r="C33" s="41">
        <v>0</v>
      </c>
      <c r="D33" s="41">
        <v>0</v>
      </c>
      <c r="E33" s="41">
        <v>0</v>
      </c>
      <c r="F33" s="41">
        <v>0</v>
      </c>
      <c r="G33" s="41">
        <v>0</v>
      </c>
      <c r="H33" s="41">
        <v>0</v>
      </c>
      <c r="I33" s="69">
        <v>0</v>
      </c>
      <c r="J33" s="69">
        <v>0</v>
      </c>
      <c r="K33" s="69">
        <v>0</v>
      </c>
      <c r="L33" s="69">
        <v>0</v>
      </c>
      <c r="M33" s="69">
        <v>0</v>
      </c>
      <c r="N33" s="41">
        <v>49.712788430000003</v>
      </c>
      <c r="O33" s="41"/>
      <c r="P33" s="41"/>
      <c r="Q33" s="41"/>
      <c r="R33" s="41"/>
      <c r="S33" s="41"/>
      <c r="T33" s="41"/>
      <c r="U33" s="41"/>
      <c r="V33" s="69"/>
      <c r="W33" s="69"/>
      <c r="X33" s="69"/>
      <c r="Y33" s="69"/>
      <c r="Z33" s="69"/>
      <c r="AA33" s="41"/>
      <c r="AB33" s="41"/>
      <c r="AC33" s="41"/>
      <c r="AD33" s="41"/>
      <c r="AE33" s="41"/>
      <c r="AF33" s="41"/>
      <c r="AG33" s="41"/>
      <c r="AH33" s="69"/>
      <c r="AI33" s="69"/>
      <c r="AJ33" s="69"/>
      <c r="AK33" s="69"/>
      <c r="AL33" s="69"/>
      <c r="AM33" s="69"/>
      <c r="AN33" s="69"/>
      <c r="AO33" s="69"/>
      <c r="AP33" s="69"/>
      <c r="AQ33" s="69"/>
      <c r="AR33" s="69"/>
      <c r="AS33" s="69"/>
      <c r="AT33" s="69"/>
      <c r="AU33" s="69"/>
      <c r="AV33" s="69"/>
      <c r="AW33" s="69"/>
      <c r="AX33" s="69"/>
      <c r="AY33" s="69"/>
      <c r="AZ33" s="69"/>
      <c r="BA33" s="69"/>
      <c r="BB33" s="69"/>
      <c r="BC33" s="69"/>
      <c r="BD33" s="69"/>
      <c r="BE33" s="69"/>
      <c r="BF33" s="69"/>
      <c r="BG33" s="69"/>
      <c r="BH33" s="69"/>
      <c r="BI33" s="69"/>
      <c r="BJ33" s="69"/>
      <c r="BK33" s="69"/>
      <c r="BL33" s="69"/>
      <c r="BM33" s="69"/>
      <c r="BN33" s="69"/>
      <c r="BO33" s="69"/>
      <c r="BP33" s="69"/>
      <c r="BQ33" s="69"/>
      <c r="BR33" s="69"/>
      <c r="BS33" s="69"/>
      <c r="BT33" s="69"/>
      <c r="BU33" s="69"/>
      <c r="BV33" s="69"/>
    </row>
    <row r="34" spans="2:74" hidden="1" outlineLevel="2" x14ac:dyDescent="0.35">
      <c r="B34" s="63" t="s">
        <v>64</v>
      </c>
      <c r="C34" s="41">
        <v>280.84279341000007</v>
      </c>
      <c r="D34" s="41">
        <v>280.84279341000007</v>
      </c>
      <c r="E34" s="41">
        <v>282.45986041000003</v>
      </c>
      <c r="F34" s="41">
        <v>282.45986041000003</v>
      </c>
      <c r="G34" s="41">
        <v>282.45986041000003</v>
      </c>
      <c r="H34" s="41">
        <v>275.66476163000004</v>
      </c>
      <c r="I34" s="41">
        <v>275.66476163000004</v>
      </c>
      <c r="J34" s="41">
        <v>275.66476163000004</v>
      </c>
      <c r="K34" s="41">
        <v>268.01519962999998</v>
      </c>
      <c r="L34" s="41">
        <v>268.01519962999998</v>
      </c>
      <c r="M34" s="41">
        <v>268.01519962999998</v>
      </c>
      <c r="N34" s="41">
        <v>209.46826462999999</v>
      </c>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c r="BM34" s="41"/>
      <c r="BN34" s="41"/>
      <c r="BO34" s="41"/>
      <c r="BP34" s="41"/>
      <c r="BQ34" s="41"/>
      <c r="BR34" s="41"/>
      <c r="BS34" s="41"/>
      <c r="BT34" s="41"/>
      <c r="BU34" s="41"/>
      <c r="BV34" s="41"/>
    </row>
    <row r="35" spans="2:74" hidden="1" outlineLevel="2" x14ac:dyDescent="0.35">
      <c r="B35" s="63" t="s">
        <v>65</v>
      </c>
      <c r="C35" s="41">
        <v>172.54053934000001</v>
      </c>
      <c r="D35" s="41">
        <v>188.11035566999999</v>
      </c>
      <c r="E35" s="41">
        <v>172.54082156999999</v>
      </c>
      <c r="F35" s="41">
        <v>176.14944675999999</v>
      </c>
      <c r="G35" s="41">
        <v>177.76551777999998</v>
      </c>
      <c r="H35" s="41">
        <v>179.19736734999998</v>
      </c>
      <c r="I35" s="41">
        <v>178.65195446000001</v>
      </c>
      <c r="J35" s="41">
        <v>175.00839504000004</v>
      </c>
      <c r="K35" s="41">
        <v>189.81102958</v>
      </c>
      <c r="L35" s="41">
        <v>185.58096980000002</v>
      </c>
      <c r="M35" s="41">
        <v>145.59440441999999</v>
      </c>
      <c r="N35" s="41">
        <v>20.851309110000003</v>
      </c>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c r="BM35" s="41"/>
      <c r="BN35" s="41"/>
      <c r="BO35" s="41"/>
      <c r="BP35" s="41"/>
      <c r="BQ35" s="41"/>
      <c r="BR35" s="41"/>
      <c r="BS35" s="41"/>
      <c r="BT35" s="41"/>
      <c r="BU35" s="41"/>
      <c r="BV35" s="41"/>
    </row>
    <row r="36" spans="2:74" hidden="1" outlineLevel="2" x14ac:dyDescent="0.35">
      <c r="B36" s="63" t="s">
        <v>66</v>
      </c>
      <c r="C36" s="41">
        <v>81.495999999999995</v>
      </c>
      <c r="D36" s="41">
        <v>81.495999999999995</v>
      </c>
      <c r="E36" s="41">
        <v>81.495999999999995</v>
      </c>
      <c r="F36" s="41">
        <v>81.495999999999995</v>
      </c>
      <c r="G36" s="41">
        <v>81.495999999999995</v>
      </c>
      <c r="H36" s="41">
        <v>81.495999999999995</v>
      </c>
      <c r="I36" s="41">
        <v>81.495999999999995</v>
      </c>
      <c r="J36" s="41">
        <v>81.495999999999995</v>
      </c>
      <c r="K36" s="41">
        <v>81.495999999999995</v>
      </c>
      <c r="L36" s="41">
        <v>81.495999999999995</v>
      </c>
      <c r="M36" s="41">
        <v>81.495999999999995</v>
      </c>
      <c r="N36" s="41">
        <v>81.495999999999995</v>
      </c>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1"/>
      <c r="BT36" s="41"/>
      <c r="BU36" s="41"/>
      <c r="BV36" s="41"/>
    </row>
    <row r="37" spans="2:74" hidden="1" outlineLevel="2" x14ac:dyDescent="0.35">
      <c r="B37" s="63" t="s">
        <v>67</v>
      </c>
      <c r="C37" s="43">
        <v>250</v>
      </c>
      <c r="D37" s="43">
        <v>250</v>
      </c>
      <c r="E37" s="43">
        <v>250</v>
      </c>
      <c r="F37" s="43">
        <v>250</v>
      </c>
      <c r="G37" s="43">
        <v>250</v>
      </c>
      <c r="H37" s="43">
        <v>250</v>
      </c>
      <c r="I37" s="43">
        <v>250</v>
      </c>
      <c r="J37" s="43">
        <v>250</v>
      </c>
      <c r="K37" s="43">
        <v>250</v>
      </c>
      <c r="L37" s="43">
        <v>250</v>
      </c>
      <c r="M37" s="43">
        <v>250</v>
      </c>
      <c r="N37" s="43">
        <v>250</v>
      </c>
      <c r="O37" s="43"/>
      <c r="P37" s="43"/>
      <c r="Q37" s="43"/>
      <c r="R37" s="43"/>
      <c r="S37" s="43"/>
      <c r="T37" s="43"/>
      <c r="U37" s="43"/>
      <c r="V37" s="43"/>
      <c r="W37" s="43"/>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c r="BF37" s="43"/>
      <c r="BG37" s="43"/>
      <c r="BH37" s="43"/>
      <c r="BI37" s="43"/>
      <c r="BJ37" s="43"/>
      <c r="BK37" s="43"/>
      <c r="BL37" s="43"/>
      <c r="BM37" s="43"/>
      <c r="BN37" s="43"/>
      <c r="BO37" s="43"/>
      <c r="BP37" s="43"/>
      <c r="BQ37" s="43"/>
      <c r="BR37" s="43"/>
      <c r="BS37" s="43"/>
      <c r="BT37" s="43"/>
      <c r="BU37" s="43"/>
      <c r="BV37" s="43"/>
    </row>
    <row r="38" spans="2:74" hidden="1" outlineLevel="2" x14ac:dyDescent="0.35">
      <c r="B38" s="63" t="s">
        <v>68</v>
      </c>
      <c r="C38" s="43" t="e">
        <f>#REF!</f>
        <v>#REF!</v>
      </c>
      <c r="D38" s="43" t="e">
        <f t="shared" ref="D38:M38" si="110">C38</f>
        <v>#REF!</v>
      </c>
      <c r="E38" s="43" t="e">
        <f t="shared" si="110"/>
        <v>#REF!</v>
      </c>
      <c r="F38" s="43" t="e">
        <f t="shared" si="110"/>
        <v>#REF!</v>
      </c>
      <c r="G38" s="43" t="e">
        <f t="shared" si="110"/>
        <v>#REF!</v>
      </c>
      <c r="H38" s="43" t="e">
        <f t="shared" si="110"/>
        <v>#REF!</v>
      </c>
      <c r="I38" s="43" t="e">
        <f t="shared" si="110"/>
        <v>#REF!</v>
      </c>
      <c r="J38" s="43" t="e">
        <f t="shared" si="110"/>
        <v>#REF!</v>
      </c>
      <c r="K38" s="43" t="e">
        <f t="shared" si="110"/>
        <v>#REF!</v>
      </c>
      <c r="L38" s="43" t="e">
        <f t="shared" si="110"/>
        <v>#REF!</v>
      </c>
      <c r="M38" s="43" t="e">
        <f t="shared" si="110"/>
        <v>#REF!</v>
      </c>
      <c r="N38" s="43">
        <v>42.2</v>
      </c>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c r="BF38" s="43"/>
      <c r="BG38" s="43"/>
      <c r="BH38" s="43"/>
      <c r="BI38" s="43"/>
      <c r="BJ38" s="43"/>
      <c r="BK38" s="43"/>
      <c r="BL38" s="43"/>
      <c r="BM38" s="43"/>
      <c r="BN38" s="43"/>
      <c r="BO38" s="43"/>
      <c r="BP38" s="43"/>
      <c r="BQ38" s="43"/>
      <c r="BR38" s="43"/>
      <c r="BS38" s="43"/>
      <c r="BT38" s="43"/>
      <c r="BU38" s="43"/>
      <c r="BV38" s="43"/>
    </row>
    <row r="39" spans="2:74" hidden="1" outlineLevel="2" x14ac:dyDescent="0.35">
      <c r="B39" s="63" t="s">
        <v>69</v>
      </c>
      <c r="C39" s="41">
        <v>-2.8681829699999999</v>
      </c>
      <c r="D39" s="41">
        <v>-1.9863696200000001</v>
      </c>
      <c r="E39" s="41">
        <v>-2.1567571699999997</v>
      </c>
      <c r="F39" s="41">
        <v>-2.15030191</v>
      </c>
      <c r="G39" s="41">
        <v>-2.2937383200000001</v>
      </c>
      <c r="H39" s="41">
        <v>-2.8316491299999997</v>
      </c>
      <c r="I39" s="41">
        <v>-1.5852880500000002</v>
      </c>
      <c r="J39" s="41">
        <v>-2.4214619599999998</v>
      </c>
      <c r="K39" s="41">
        <v>-3.6642329399999998</v>
      </c>
      <c r="L39" s="41">
        <v>-4.0446725699999995</v>
      </c>
      <c r="M39" s="41">
        <v>-6.6243025799999993</v>
      </c>
      <c r="N39" s="41">
        <v>-2.0907473900000002</v>
      </c>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1"/>
      <c r="BK39" s="41"/>
      <c r="BL39" s="41"/>
      <c r="BM39" s="41"/>
      <c r="BN39" s="41"/>
      <c r="BO39" s="41"/>
      <c r="BP39" s="41"/>
      <c r="BQ39" s="41"/>
      <c r="BR39" s="41"/>
      <c r="BS39" s="41"/>
      <c r="BT39" s="41"/>
      <c r="BU39" s="41"/>
      <c r="BV39" s="41"/>
    </row>
    <row r="40" spans="2:74" hidden="1" outlineLevel="2" x14ac:dyDescent="0.35">
      <c r="B40" s="63" t="s">
        <v>70</v>
      </c>
      <c r="C40" s="41">
        <v>-10.177825779999999</v>
      </c>
      <c r="D40" s="41">
        <v>-9.7954163399999992</v>
      </c>
      <c r="E40" s="41">
        <v>-15.311255130000001</v>
      </c>
      <c r="F40" s="41">
        <v>-4.7882100500000009</v>
      </c>
      <c r="G40" s="41">
        <v>-27.572219529999998</v>
      </c>
      <c r="H40" s="41">
        <v>-30.947836419999994</v>
      </c>
      <c r="I40" s="41">
        <v>-15.849871070000001</v>
      </c>
      <c r="J40" s="41">
        <v>-21.498442949999998</v>
      </c>
      <c r="K40" s="41">
        <v>-16.438302289999999</v>
      </c>
      <c r="L40" s="41">
        <v>-15.562624979999997</v>
      </c>
      <c r="M40" s="41">
        <v>-16.647388670000002</v>
      </c>
      <c r="N40" s="41">
        <v>-32.184791230000002</v>
      </c>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c r="BJ40" s="41"/>
      <c r="BK40" s="41"/>
      <c r="BL40" s="41"/>
      <c r="BM40" s="41"/>
      <c r="BN40" s="41"/>
      <c r="BO40" s="41"/>
      <c r="BP40" s="41"/>
      <c r="BQ40" s="41"/>
      <c r="BR40" s="41"/>
      <c r="BS40" s="41"/>
      <c r="BT40" s="41"/>
      <c r="BU40" s="41"/>
      <c r="BV40" s="41"/>
    </row>
    <row r="41" spans="2:74" s="40" customFormat="1" ht="13.15" hidden="1" outlineLevel="2" x14ac:dyDescent="0.4">
      <c r="B41" s="64" t="s">
        <v>71</v>
      </c>
      <c r="C41" s="70" t="e">
        <f t="shared" ref="C41:U41" si="111">SUM(C32:C40)</f>
        <v>#REF!</v>
      </c>
      <c r="D41" s="70" t="e">
        <f t="shared" si="111"/>
        <v>#REF!</v>
      </c>
      <c r="E41" s="70" t="e">
        <f t="shared" si="111"/>
        <v>#REF!</v>
      </c>
      <c r="F41" s="70" t="e">
        <f t="shared" si="111"/>
        <v>#REF!</v>
      </c>
      <c r="G41" s="70" t="e">
        <f t="shared" si="111"/>
        <v>#REF!</v>
      </c>
      <c r="H41" s="70" t="e">
        <f t="shared" si="111"/>
        <v>#REF!</v>
      </c>
      <c r="I41" s="71" t="e">
        <f t="shared" si="111"/>
        <v>#REF!</v>
      </c>
      <c r="J41" s="71" t="e">
        <f t="shared" si="111"/>
        <v>#REF!</v>
      </c>
      <c r="K41" s="71" t="e">
        <f t="shared" si="111"/>
        <v>#REF!</v>
      </c>
      <c r="L41" s="71" t="e">
        <f t="shared" si="111"/>
        <v>#REF!</v>
      </c>
      <c r="M41" s="71" t="e">
        <f t="shared" si="111"/>
        <v>#REF!</v>
      </c>
      <c r="N41" s="71">
        <f t="shared" si="111"/>
        <v>619.45282355000006</v>
      </c>
      <c r="O41" s="71">
        <f t="shared" si="111"/>
        <v>0</v>
      </c>
      <c r="P41" s="71">
        <f t="shared" si="111"/>
        <v>0</v>
      </c>
      <c r="Q41" s="71">
        <f t="shared" si="111"/>
        <v>0</v>
      </c>
      <c r="R41" s="71">
        <f t="shared" si="111"/>
        <v>0</v>
      </c>
      <c r="S41" s="71">
        <f t="shared" si="111"/>
        <v>0</v>
      </c>
      <c r="T41" s="71">
        <f t="shared" si="111"/>
        <v>0</v>
      </c>
      <c r="U41" s="71">
        <f t="shared" si="111"/>
        <v>0</v>
      </c>
      <c r="V41" s="71"/>
      <c r="W41" s="71"/>
      <c r="X41" s="71"/>
      <c r="Y41" s="71"/>
      <c r="Z41" s="71"/>
      <c r="AA41" s="71"/>
      <c r="AB41" s="71"/>
      <c r="AC41" s="71"/>
      <c r="AD41" s="71"/>
      <c r="AE41" s="71"/>
      <c r="AF41" s="71"/>
      <c r="AG41" s="71"/>
      <c r="AH41" s="71"/>
      <c r="AI41" s="71"/>
      <c r="AJ41" s="71"/>
      <c r="AK41" s="71"/>
      <c r="AL41" s="71"/>
      <c r="AM41" s="71"/>
      <c r="AN41" s="71"/>
      <c r="AO41" s="71"/>
      <c r="AP41" s="71"/>
      <c r="AQ41" s="71"/>
      <c r="AR41" s="71"/>
      <c r="AS41" s="71"/>
      <c r="AT41" s="71"/>
      <c r="AU41" s="71"/>
      <c r="AV41" s="71"/>
      <c r="AW41" s="71"/>
      <c r="AX41" s="71"/>
      <c r="AY41" s="71"/>
      <c r="AZ41" s="71"/>
      <c r="BA41" s="71"/>
      <c r="BB41" s="71"/>
      <c r="BC41" s="71"/>
      <c r="BD41" s="71"/>
      <c r="BE41" s="71"/>
      <c r="BF41" s="71"/>
      <c r="BG41" s="71"/>
      <c r="BH41" s="71"/>
      <c r="BI41" s="71"/>
      <c r="BJ41" s="71"/>
      <c r="BK41" s="71"/>
      <c r="BL41" s="71"/>
      <c r="BM41" s="71"/>
      <c r="BN41" s="71"/>
      <c r="BO41" s="71"/>
      <c r="BP41" s="71"/>
      <c r="BQ41" s="71"/>
      <c r="BR41" s="71"/>
      <c r="BS41" s="71"/>
      <c r="BT41" s="71"/>
      <c r="BU41" s="71"/>
      <c r="BV41" s="71"/>
    </row>
    <row r="42" spans="2:74" hidden="1" outlineLevel="2" x14ac:dyDescent="0.35">
      <c r="C42" s="41"/>
      <c r="D42" s="41"/>
      <c r="E42" s="41"/>
      <c r="F42" s="41"/>
      <c r="G42" s="41"/>
    </row>
    <row r="43" spans="2:74" hidden="1" outlineLevel="2" x14ac:dyDescent="0.35">
      <c r="C43" s="41"/>
      <c r="D43" s="41"/>
      <c r="E43" s="41"/>
      <c r="F43" s="41"/>
      <c r="G43" s="41"/>
    </row>
    <row r="44" spans="2:74" hidden="1" outlineLevel="2" x14ac:dyDescent="0.35">
      <c r="C44" s="41"/>
      <c r="D44" s="41"/>
      <c r="E44" s="41"/>
      <c r="F44" s="41"/>
      <c r="G44" s="41"/>
    </row>
    <row r="45" spans="2:74" hidden="1" outlineLevel="2" x14ac:dyDescent="0.35">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1"/>
      <c r="BJ45" s="41"/>
      <c r="BK45" s="41"/>
      <c r="BL45" s="41"/>
      <c r="BM45" s="41"/>
      <c r="BN45" s="41"/>
      <c r="BO45" s="41"/>
      <c r="BP45" s="41"/>
      <c r="BQ45" s="41"/>
      <c r="BR45" s="41"/>
      <c r="BS45" s="41"/>
      <c r="BT45" s="41"/>
      <c r="BU45" s="41"/>
      <c r="BV45" s="41"/>
    </row>
    <row r="46" spans="2:74" hidden="1" outlineLevel="2" x14ac:dyDescent="0.35">
      <c r="B46" s="59" t="s">
        <v>72</v>
      </c>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1"/>
      <c r="BJ46" s="41"/>
      <c r="BK46" s="41"/>
      <c r="BL46" s="41"/>
      <c r="BM46" s="41"/>
      <c r="BN46" s="41"/>
      <c r="BO46" s="41"/>
      <c r="BP46" s="41"/>
      <c r="BQ46" s="41"/>
      <c r="BR46" s="41"/>
      <c r="BS46" s="41"/>
      <c r="BT46" s="41"/>
      <c r="BU46" s="41"/>
      <c r="BV46" s="41"/>
    </row>
    <row r="47" spans="2:74" hidden="1" outlineLevel="2" x14ac:dyDescent="0.35">
      <c r="C47" s="41"/>
      <c r="D47" s="41"/>
      <c r="E47" s="41"/>
      <c r="F47" s="41"/>
      <c r="G47" s="41"/>
      <c r="N47" s="41"/>
    </row>
    <row r="48" spans="2:74" hidden="1" outlineLevel="2" x14ac:dyDescent="0.35">
      <c r="B48" s="60" t="s">
        <v>73</v>
      </c>
      <c r="C48" s="60">
        <v>34797.901590000001</v>
      </c>
      <c r="D48" s="60">
        <v>34072.604769999969</v>
      </c>
      <c r="E48" s="60">
        <v>20343.815499999997</v>
      </c>
      <c r="F48" s="60">
        <v>27709.67998000003</v>
      </c>
      <c r="G48" s="60">
        <v>32363.370629999947</v>
      </c>
      <c r="H48" s="60">
        <v>38684.162700000044</v>
      </c>
      <c r="I48" s="60">
        <v>34872.275100000174</v>
      </c>
      <c r="J48" s="60">
        <v>35363.672210000164</v>
      </c>
      <c r="K48" s="60">
        <v>50550.572799999762</v>
      </c>
      <c r="L48" s="60">
        <v>48447.559399999969</v>
      </c>
      <c r="M48" s="60">
        <v>66291.332820000127</v>
      </c>
      <c r="N48" s="60">
        <v>137015.48743000004</v>
      </c>
      <c r="O48" s="60">
        <v>34787.25728999998</v>
      </c>
      <c r="P48" s="60">
        <v>26830.029190000001</v>
      </c>
      <c r="Q48" s="60">
        <v>37180.8217</v>
      </c>
      <c r="R48" s="60">
        <v>35204.499030000006</v>
      </c>
      <c r="S48" s="60">
        <v>46293.34831999999</v>
      </c>
      <c r="T48" s="60">
        <v>43917.689870000118</v>
      </c>
      <c r="U48" s="60">
        <v>46845.439050000103</v>
      </c>
      <c r="V48" s="60"/>
      <c r="W48" s="60"/>
      <c r="X48" s="60"/>
      <c r="Y48" s="60"/>
      <c r="Z48" s="60"/>
      <c r="AA48" s="60">
        <v>34787.25728999998</v>
      </c>
      <c r="AB48" s="60">
        <v>26830.029190000001</v>
      </c>
      <c r="AC48" s="60">
        <v>37180.8217</v>
      </c>
      <c r="AD48" s="60">
        <v>35204.499030000006</v>
      </c>
      <c r="AE48" s="60">
        <v>46293.34831999999</v>
      </c>
      <c r="AF48" s="60">
        <v>43917.689870000118</v>
      </c>
      <c r="AG48" s="60">
        <v>46845.439050000103</v>
      </c>
      <c r="AH48" s="60"/>
      <c r="AI48" s="60"/>
      <c r="AJ48" s="60"/>
      <c r="AK48" s="60"/>
      <c r="AL48" s="60"/>
      <c r="AM48" s="60">
        <v>34787.25728999998</v>
      </c>
      <c r="AN48" s="60">
        <v>26830.029190000001</v>
      </c>
      <c r="AO48" s="60">
        <v>37180.8217</v>
      </c>
      <c r="AP48" s="60">
        <v>35204.499030000006</v>
      </c>
      <c r="AQ48" s="60">
        <v>46293.34831999999</v>
      </c>
      <c r="AR48" s="60">
        <v>43917.689870000118</v>
      </c>
      <c r="AS48" s="60">
        <v>46845.439050000103</v>
      </c>
      <c r="AT48" s="60"/>
      <c r="AU48" s="60"/>
      <c r="AV48" s="60"/>
      <c r="AW48" s="60"/>
      <c r="AX48" s="60"/>
      <c r="AY48" s="60"/>
      <c r="AZ48" s="60"/>
      <c r="BA48" s="60"/>
      <c r="BB48" s="60"/>
      <c r="BC48" s="60"/>
      <c r="BD48" s="60"/>
      <c r="BE48" s="60"/>
      <c r="BF48" s="60"/>
      <c r="BG48" s="60"/>
      <c r="BH48" s="60"/>
      <c r="BI48" s="60"/>
      <c r="BJ48" s="60"/>
      <c r="BK48" s="60"/>
      <c r="BL48" s="60"/>
      <c r="BM48" s="60"/>
      <c r="BN48" s="60"/>
      <c r="BO48" s="60"/>
      <c r="BP48" s="60"/>
      <c r="BQ48" s="60"/>
      <c r="BR48" s="60"/>
      <c r="BS48" s="60"/>
      <c r="BT48" s="60"/>
      <c r="BU48" s="60"/>
      <c r="BV48" s="60"/>
    </row>
    <row r="49" spans="2:74" hidden="1" outlineLevel="2" x14ac:dyDescent="0.35">
      <c r="B49" s="60" t="s">
        <v>74</v>
      </c>
      <c r="C49" s="60">
        <v>23586.605279999982</v>
      </c>
      <c r="D49" s="60">
        <v>19517.574160000011</v>
      </c>
      <c r="E49" s="60">
        <v>10117.864670000006</v>
      </c>
      <c r="F49" s="60">
        <v>3192.537900000003</v>
      </c>
      <c r="G49" s="60">
        <v>14178.802000000011</v>
      </c>
      <c r="H49" s="60">
        <v>19485.787999999971</v>
      </c>
      <c r="I49" s="60">
        <v>21371.554166599999</v>
      </c>
      <c r="J49" s="60">
        <v>20585.819029999984</v>
      </c>
      <c r="K49" s="60">
        <v>25082.564119999995</v>
      </c>
      <c r="L49" s="60">
        <v>18068.187869999994</v>
      </c>
      <c r="M49" s="60">
        <v>12365.323279999997</v>
      </c>
      <c r="N49" s="60">
        <v>66447.139539399956</v>
      </c>
      <c r="O49" s="60">
        <v>7918.252410000001</v>
      </c>
      <c r="P49" s="60">
        <v>6287.200800000006</v>
      </c>
      <c r="Q49" s="60">
        <v>7196.4639100000168</v>
      </c>
      <c r="R49" s="60">
        <v>4454.4092700000056</v>
      </c>
      <c r="S49" s="60">
        <v>20679.906919999987</v>
      </c>
      <c r="T49" s="60">
        <v>23545.347290000005</v>
      </c>
      <c r="U49" s="60">
        <v>26388.096770000011</v>
      </c>
      <c r="V49" s="60"/>
      <c r="W49" s="60"/>
      <c r="X49" s="60"/>
      <c r="Y49" s="60"/>
      <c r="Z49" s="60"/>
      <c r="AA49" s="60">
        <v>7918.252410000001</v>
      </c>
      <c r="AB49" s="60">
        <v>6287.200800000006</v>
      </c>
      <c r="AC49" s="60">
        <v>7196.4639100000168</v>
      </c>
      <c r="AD49" s="60">
        <v>4454.4092700000056</v>
      </c>
      <c r="AE49" s="60">
        <v>20679.906919999987</v>
      </c>
      <c r="AF49" s="60">
        <v>23545.347290000005</v>
      </c>
      <c r="AG49" s="60">
        <v>26388.096770000011</v>
      </c>
      <c r="AH49" s="60"/>
      <c r="AI49" s="60"/>
      <c r="AJ49" s="60"/>
      <c r="AK49" s="60"/>
      <c r="AL49" s="60"/>
      <c r="AM49" s="60">
        <v>7918.252410000001</v>
      </c>
      <c r="AN49" s="60">
        <v>6287.200800000006</v>
      </c>
      <c r="AO49" s="60">
        <v>7196.4639100000168</v>
      </c>
      <c r="AP49" s="60">
        <v>4454.4092700000056</v>
      </c>
      <c r="AQ49" s="60">
        <v>20679.906919999987</v>
      </c>
      <c r="AR49" s="60">
        <v>23545.347290000005</v>
      </c>
      <c r="AS49" s="60">
        <v>26388.096770000011</v>
      </c>
      <c r="AT49" s="60"/>
      <c r="AU49" s="60"/>
      <c r="AV49" s="60"/>
      <c r="AW49" s="60"/>
      <c r="AX49" s="60"/>
      <c r="AY49" s="60"/>
      <c r="AZ49" s="60"/>
      <c r="BA49" s="60"/>
      <c r="BB49" s="60"/>
      <c r="BC49" s="60"/>
      <c r="BD49" s="60"/>
      <c r="BE49" s="60"/>
      <c r="BF49" s="60"/>
      <c r="BG49" s="60"/>
      <c r="BH49" s="60"/>
      <c r="BI49" s="60"/>
      <c r="BJ49" s="60"/>
      <c r="BK49" s="60"/>
      <c r="BL49" s="60"/>
      <c r="BM49" s="60"/>
      <c r="BN49" s="60"/>
      <c r="BO49" s="60"/>
      <c r="BP49" s="60"/>
      <c r="BQ49" s="60"/>
      <c r="BR49" s="60"/>
      <c r="BS49" s="60"/>
      <c r="BT49" s="60"/>
      <c r="BU49" s="60"/>
      <c r="BV49" s="60"/>
    </row>
    <row r="50" spans="2:74" hidden="1" outlineLevel="2" x14ac:dyDescent="0.35">
      <c r="B50" s="65" t="s">
        <v>71</v>
      </c>
      <c r="C50" s="61">
        <f t="shared" ref="C50:N50" si="112">SUM(C48:C49)</f>
        <v>58384.506869999983</v>
      </c>
      <c r="D50" s="61">
        <f t="shared" si="112"/>
        <v>53590.17892999998</v>
      </c>
      <c r="E50" s="61">
        <f t="shared" si="112"/>
        <v>30461.680170000003</v>
      </c>
      <c r="F50" s="61">
        <f t="shared" si="112"/>
        <v>30902.217880000033</v>
      </c>
      <c r="G50" s="61">
        <f t="shared" si="112"/>
        <v>46542.172629999957</v>
      </c>
      <c r="H50" s="61">
        <f t="shared" si="112"/>
        <v>58169.950700000016</v>
      </c>
      <c r="I50" s="61">
        <f t="shared" si="112"/>
        <v>56243.829266600173</v>
      </c>
      <c r="J50" s="61">
        <f t="shared" si="112"/>
        <v>55949.491240000149</v>
      </c>
      <c r="K50" s="61">
        <f t="shared" si="112"/>
        <v>75633.136919999757</v>
      </c>
      <c r="L50" s="61">
        <f t="shared" si="112"/>
        <v>66515.747269999963</v>
      </c>
      <c r="M50" s="61">
        <f t="shared" si="112"/>
        <v>78656.656100000124</v>
      </c>
      <c r="N50" s="61">
        <f t="shared" si="112"/>
        <v>203462.62696939998</v>
      </c>
      <c r="O50" s="61">
        <f>SUM(O48:O49)</f>
        <v>42705.509699999981</v>
      </c>
      <c r="P50" s="61">
        <f t="shared" ref="P50:Z50" si="113">SUM(P48:P49)</f>
        <v>33117.229990000007</v>
      </c>
      <c r="Q50" s="61">
        <f t="shared" si="113"/>
        <v>44377.285610000021</v>
      </c>
      <c r="R50" s="61">
        <f t="shared" si="113"/>
        <v>39658.90830000001</v>
      </c>
      <c r="S50" s="61">
        <f t="shared" si="113"/>
        <v>66973.255239999969</v>
      </c>
      <c r="T50" s="61">
        <f t="shared" si="113"/>
        <v>67463.037160000124</v>
      </c>
      <c r="U50" s="61">
        <f t="shared" si="113"/>
        <v>73233.535820000106</v>
      </c>
      <c r="V50" s="61">
        <f t="shared" si="113"/>
        <v>0</v>
      </c>
      <c r="W50" s="61">
        <f t="shared" si="113"/>
        <v>0</v>
      </c>
      <c r="X50" s="61">
        <f t="shared" si="113"/>
        <v>0</v>
      </c>
      <c r="Y50" s="61">
        <f t="shared" si="113"/>
        <v>0</v>
      </c>
      <c r="Z50" s="61">
        <f t="shared" si="113"/>
        <v>0</v>
      </c>
      <c r="AA50" s="61">
        <f>SUM(AA48:AA49)</f>
        <v>42705.509699999981</v>
      </c>
      <c r="AB50" s="61">
        <f t="shared" ref="AB50:AL50" si="114">SUM(AB48:AB49)</f>
        <v>33117.229990000007</v>
      </c>
      <c r="AC50" s="61">
        <f t="shared" si="114"/>
        <v>44377.285610000021</v>
      </c>
      <c r="AD50" s="61">
        <f t="shared" si="114"/>
        <v>39658.90830000001</v>
      </c>
      <c r="AE50" s="61">
        <f t="shared" si="114"/>
        <v>66973.255239999969</v>
      </c>
      <c r="AF50" s="61">
        <f t="shared" si="114"/>
        <v>67463.037160000124</v>
      </c>
      <c r="AG50" s="61">
        <f t="shared" si="114"/>
        <v>73233.535820000106</v>
      </c>
      <c r="AH50" s="61">
        <f t="shared" si="114"/>
        <v>0</v>
      </c>
      <c r="AI50" s="61">
        <f t="shared" si="114"/>
        <v>0</v>
      </c>
      <c r="AJ50" s="61">
        <f t="shared" si="114"/>
        <v>0</v>
      </c>
      <c r="AK50" s="61">
        <f t="shared" si="114"/>
        <v>0</v>
      </c>
      <c r="AL50" s="61">
        <f t="shared" si="114"/>
        <v>0</v>
      </c>
      <c r="AM50" s="61">
        <v>42705.509699999981</v>
      </c>
      <c r="AN50" s="61">
        <v>33117.229990000007</v>
      </c>
      <c r="AO50" s="61">
        <v>44377.285610000021</v>
      </c>
      <c r="AP50" s="61">
        <v>39658.90830000001</v>
      </c>
      <c r="AQ50" s="61">
        <v>66973.255239999969</v>
      </c>
      <c r="AR50" s="61">
        <v>67463.037160000124</v>
      </c>
      <c r="AS50" s="61">
        <v>73233.535820000106</v>
      </c>
      <c r="AT50" s="61">
        <v>0</v>
      </c>
      <c r="AU50" s="61">
        <v>0</v>
      </c>
      <c r="AV50" s="61">
        <v>0</v>
      </c>
      <c r="AW50" s="61">
        <v>0</v>
      </c>
      <c r="AX50" s="61">
        <v>0</v>
      </c>
      <c r="AY50" s="61"/>
      <c r="AZ50" s="61"/>
      <c r="BA50" s="61"/>
      <c r="BB50" s="61"/>
      <c r="BC50" s="61"/>
      <c r="BD50" s="61"/>
      <c r="BE50" s="61"/>
      <c r="BF50" s="61"/>
      <c r="BG50" s="61"/>
      <c r="BH50" s="61"/>
      <c r="BI50" s="61"/>
      <c r="BJ50" s="61"/>
      <c r="BK50" s="61"/>
      <c r="BL50" s="61"/>
      <c r="BM50" s="61"/>
      <c r="BN50" s="61"/>
      <c r="BO50" s="61"/>
      <c r="BP50" s="61"/>
      <c r="BQ50" s="61"/>
      <c r="BR50" s="61"/>
      <c r="BS50" s="61"/>
      <c r="BT50" s="61"/>
      <c r="BU50" s="61"/>
      <c r="BV50" s="61"/>
    </row>
    <row r="51" spans="2:74" hidden="1" outlineLevel="2" x14ac:dyDescent="0.35">
      <c r="B51" s="59"/>
      <c r="C51" s="60"/>
      <c r="D51" s="60"/>
      <c r="E51" s="60"/>
      <c r="F51" s="60"/>
      <c r="G51" s="60"/>
      <c r="H51" s="60"/>
      <c r="I51" s="60"/>
      <c r="J51" s="60"/>
      <c r="K51" s="60"/>
      <c r="L51" s="60"/>
      <c r="M51" s="60"/>
      <c r="N51" s="60"/>
      <c r="O51" s="60"/>
      <c r="P51" s="60"/>
      <c r="Q51" s="60"/>
      <c r="R51" s="60"/>
      <c r="S51" s="60"/>
      <c r="T51" s="60"/>
      <c r="U51" s="60"/>
      <c r="V51" s="60"/>
      <c r="W51" s="60"/>
      <c r="X51" s="60"/>
      <c r="Y51" s="60"/>
      <c r="Z51" s="60"/>
      <c r="AA51" s="60"/>
      <c r="AB51" s="60"/>
      <c r="AC51" s="60"/>
      <c r="AD51" s="60"/>
      <c r="AE51" s="60"/>
      <c r="AF51" s="60"/>
      <c r="AG51" s="60"/>
      <c r="AH51" s="60"/>
      <c r="AI51" s="60"/>
      <c r="AJ51" s="60"/>
      <c r="AK51" s="60"/>
      <c r="AL51" s="60"/>
      <c r="AM51" s="60"/>
      <c r="AN51" s="60"/>
      <c r="AO51" s="60"/>
      <c r="AP51" s="60"/>
      <c r="AQ51" s="60"/>
      <c r="AR51" s="60"/>
      <c r="AS51" s="60"/>
      <c r="AT51" s="60"/>
      <c r="AU51" s="60"/>
      <c r="AV51" s="60"/>
      <c r="AW51" s="60"/>
      <c r="AX51" s="60"/>
      <c r="AY51" s="60"/>
      <c r="AZ51" s="60"/>
      <c r="BA51" s="60"/>
      <c r="BB51" s="60"/>
      <c r="BC51" s="60"/>
      <c r="BD51" s="60"/>
      <c r="BE51" s="60"/>
      <c r="BF51" s="60"/>
      <c r="BG51" s="60"/>
      <c r="BH51" s="60"/>
      <c r="BI51" s="60"/>
      <c r="BJ51" s="60"/>
      <c r="BK51" s="60"/>
      <c r="BL51" s="60"/>
      <c r="BM51" s="60"/>
      <c r="BN51" s="60"/>
      <c r="BO51" s="60"/>
      <c r="BP51" s="60"/>
      <c r="BQ51" s="60"/>
      <c r="BR51" s="60"/>
      <c r="BS51" s="60"/>
      <c r="BT51" s="60"/>
      <c r="BU51" s="60"/>
      <c r="BV51" s="60"/>
    </row>
    <row r="52" spans="2:74" hidden="1" outlineLevel="2" x14ac:dyDescent="0.35">
      <c r="B52" s="59"/>
      <c r="C52" s="60"/>
      <c r="D52" s="60"/>
      <c r="E52" s="60"/>
      <c r="F52" s="60"/>
      <c r="G52" s="60"/>
      <c r="H52" s="60"/>
      <c r="I52" s="60"/>
      <c r="J52" s="60"/>
      <c r="K52" s="60"/>
      <c r="L52" s="60"/>
      <c r="M52" s="60"/>
      <c r="N52" s="60"/>
      <c r="O52" s="60"/>
      <c r="P52" s="60"/>
      <c r="Q52" s="60"/>
      <c r="R52" s="60"/>
      <c r="S52" s="60"/>
      <c r="T52" s="60"/>
      <c r="U52" s="60"/>
      <c r="V52" s="60"/>
      <c r="W52" s="60"/>
      <c r="X52" s="60"/>
      <c r="Y52" s="60"/>
      <c r="Z52" s="60"/>
      <c r="AA52" s="60"/>
      <c r="AB52" s="60"/>
      <c r="AC52" s="60"/>
      <c r="AD52" s="60"/>
      <c r="AE52" s="60"/>
      <c r="AF52" s="60"/>
      <c r="AG52" s="60"/>
      <c r="AH52" s="60"/>
      <c r="AI52" s="60"/>
      <c r="AJ52" s="60"/>
      <c r="AK52" s="60"/>
      <c r="AL52" s="60"/>
      <c r="AM52" s="60"/>
      <c r="AN52" s="60"/>
      <c r="AO52" s="60"/>
      <c r="AP52" s="60"/>
      <c r="AQ52" s="60"/>
      <c r="AR52" s="60"/>
      <c r="AS52" s="60"/>
      <c r="AT52" s="60"/>
      <c r="AU52" s="60"/>
      <c r="AV52" s="60"/>
      <c r="AW52" s="60"/>
      <c r="AX52" s="60"/>
      <c r="AY52" s="60"/>
      <c r="AZ52" s="60"/>
      <c r="BA52" s="60"/>
      <c r="BB52" s="60"/>
      <c r="BC52" s="60"/>
      <c r="BD52" s="60"/>
      <c r="BE52" s="60"/>
      <c r="BF52" s="60"/>
      <c r="BG52" s="60"/>
      <c r="BH52" s="60"/>
      <c r="BI52" s="60"/>
      <c r="BJ52" s="60"/>
      <c r="BK52" s="60"/>
      <c r="BL52" s="60"/>
      <c r="BM52" s="60"/>
      <c r="BN52" s="60"/>
      <c r="BO52" s="60"/>
      <c r="BP52" s="60"/>
      <c r="BQ52" s="60"/>
      <c r="BR52" s="60"/>
      <c r="BS52" s="60"/>
      <c r="BT52" s="60"/>
      <c r="BU52" s="60"/>
      <c r="BV52" s="60"/>
    </row>
    <row r="53" spans="2:74" hidden="1" outlineLevel="2" x14ac:dyDescent="0.35">
      <c r="B53" s="60" t="s">
        <v>75</v>
      </c>
      <c r="C53" s="60">
        <v>1284.2371099999928</v>
      </c>
      <c r="D53" s="60">
        <v>1992.670439999989</v>
      </c>
      <c r="E53" s="60">
        <v>-25.86551999997755</v>
      </c>
      <c r="F53" s="60">
        <v>6297.4675699999771</v>
      </c>
      <c r="G53" s="60">
        <v>5346.9710200000627</v>
      </c>
      <c r="H53" s="60">
        <v>11098.01501999999</v>
      </c>
      <c r="I53" s="60">
        <v>6486.2783099998742</v>
      </c>
      <c r="J53" s="60">
        <v>4838.8764600001559</v>
      </c>
      <c r="K53" s="60">
        <v>16089.369409999916</v>
      </c>
      <c r="L53" s="60">
        <v>10271.008709999933</v>
      </c>
      <c r="M53" s="60">
        <v>21123.223500000004</v>
      </c>
      <c r="N53" s="60">
        <v>89258.73490999997</v>
      </c>
      <c r="O53" s="60">
        <v>7031.584420000001</v>
      </c>
      <c r="P53" s="60">
        <v>2193.0129899999824</v>
      </c>
      <c r="Q53" s="60">
        <v>6311.2836100000368</v>
      </c>
      <c r="R53" s="60">
        <v>8746.3507499999851</v>
      </c>
      <c r="S53" s="60">
        <v>14105.644460000018</v>
      </c>
      <c r="T53" s="60">
        <v>12243.29893999995</v>
      </c>
      <c r="U53" s="60">
        <v>19237.387669999964</v>
      </c>
      <c r="V53" s="60"/>
      <c r="W53" s="60"/>
      <c r="X53" s="60"/>
      <c r="Y53" s="60"/>
      <c r="Z53" s="60"/>
      <c r="AA53" s="60">
        <v>7031.584420000001</v>
      </c>
      <c r="AB53" s="60">
        <v>2193.0129899999824</v>
      </c>
      <c r="AC53" s="60">
        <v>6311.2836100000368</v>
      </c>
      <c r="AD53" s="60">
        <v>8746.3507499999851</v>
      </c>
      <c r="AE53" s="60">
        <v>14105.644460000018</v>
      </c>
      <c r="AF53" s="60">
        <v>12243.29893999995</v>
      </c>
      <c r="AG53" s="60">
        <v>19237.387669999964</v>
      </c>
      <c r="AH53" s="60"/>
      <c r="AI53" s="60"/>
      <c r="AJ53" s="60"/>
      <c r="AK53" s="60"/>
      <c r="AL53" s="60"/>
      <c r="AM53" s="60">
        <v>7031.584420000001</v>
      </c>
      <c r="AN53" s="60">
        <v>2193.0129899999824</v>
      </c>
      <c r="AO53" s="60">
        <v>6311.2836100000368</v>
      </c>
      <c r="AP53" s="60">
        <v>8746.3507499999851</v>
      </c>
      <c r="AQ53" s="60">
        <v>14105.644460000018</v>
      </c>
      <c r="AR53" s="60">
        <v>12243.29893999995</v>
      </c>
      <c r="AS53" s="60">
        <v>19237.387669999964</v>
      </c>
      <c r="AT53" s="60"/>
      <c r="AU53" s="60"/>
      <c r="AV53" s="60"/>
      <c r="AW53" s="60"/>
      <c r="AX53" s="60"/>
      <c r="AY53" s="60"/>
      <c r="AZ53" s="60"/>
      <c r="BA53" s="60"/>
      <c r="BB53" s="60"/>
      <c r="BC53" s="60"/>
      <c r="BD53" s="60"/>
      <c r="BE53" s="60"/>
      <c r="BF53" s="60"/>
      <c r="BG53" s="60"/>
      <c r="BH53" s="60"/>
      <c r="BI53" s="60"/>
      <c r="BJ53" s="60"/>
      <c r="BK53" s="60"/>
      <c r="BL53" s="60"/>
      <c r="BM53" s="60"/>
      <c r="BN53" s="60"/>
      <c r="BO53" s="60"/>
      <c r="BP53" s="60"/>
      <c r="BQ53" s="60"/>
      <c r="BR53" s="60"/>
      <c r="BS53" s="60"/>
      <c r="BT53" s="60"/>
      <c r="BU53" s="60"/>
      <c r="BV53" s="60"/>
    </row>
    <row r="54" spans="2:74" hidden="1" outlineLevel="2" x14ac:dyDescent="0.35">
      <c r="B54" s="60" t="s">
        <v>76</v>
      </c>
      <c r="C54" s="60">
        <v>-2250.4292431100293</v>
      </c>
      <c r="D54" s="60">
        <v>-5615.5915009999953</v>
      </c>
      <c r="E54" s="60">
        <v>-23351.916474000001</v>
      </c>
      <c r="F54" s="60">
        <v>-23790.159333600011</v>
      </c>
      <c r="G54" s="60">
        <v>-5846.0492200000081</v>
      </c>
      <c r="H54" s="60">
        <v>-6666.0599800000346</v>
      </c>
      <c r="I54" s="60">
        <v>-3570.4624199700011</v>
      </c>
      <c r="J54" s="60">
        <v>-6617.0299338133045</v>
      </c>
      <c r="K54" s="60">
        <v>2285.241484818569</v>
      </c>
      <c r="L54" s="60">
        <v>-300.56640412989145</v>
      </c>
      <c r="M54" s="60">
        <v>-11825.15201237578</v>
      </c>
      <c r="N54" s="60">
        <v>54351.127665583495</v>
      </c>
      <c r="O54" s="60">
        <v>-15584.29791999999</v>
      </c>
      <c r="P54" s="60">
        <v>-16983.859539999998</v>
      </c>
      <c r="Q54" s="60">
        <v>-11848.928549999979</v>
      </c>
      <c r="R54" s="60">
        <v>-17598.981119999989</v>
      </c>
      <c r="S54" s="60">
        <v>23517.522139999972</v>
      </c>
      <c r="T54" s="60">
        <v>-2328.4375899999941</v>
      </c>
      <c r="U54" s="60">
        <v>-3621.5803899999955</v>
      </c>
      <c r="V54" s="60"/>
      <c r="W54" s="60"/>
      <c r="X54" s="60"/>
      <c r="Y54" s="60"/>
      <c r="Z54" s="60"/>
      <c r="AA54" s="60">
        <v>-15584.29791999999</v>
      </c>
      <c r="AB54" s="60">
        <v>-16983.859539999998</v>
      </c>
      <c r="AC54" s="60">
        <v>-11848.928549999979</v>
      </c>
      <c r="AD54" s="60">
        <v>-17598.981119999989</v>
      </c>
      <c r="AE54" s="60">
        <v>23517.522139999972</v>
      </c>
      <c r="AF54" s="60">
        <v>-2328.4375899999941</v>
      </c>
      <c r="AG54" s="60">
        <v>-3621.5803899999955</v>
      </c>
      <c r="AH54" s="60"/>
      <c r="AI54" s="60"/>
      <c r="AJ54" s="60"/>
      <c r="AK54" s="60"/>
      <c r="AL54" s="60"/>
      <c r="AM54" s="60">
        <v>-15584.29791999999</v>
      </c>
      <c r="AN54" s="60">
        <v>-16983.859539999998</v>
      </c>
      <c r="AO54" s="60">
        <v>-11848.928549999979</v>
      </c>
      <c r="AP54" s="60">
        <v>-17598.981119999989</v>
      </c>
      <c r="AQ54" s="60">
        <v>23517.522139999972</v>
      </c>
      <c r="AR54" s="60">
        <v>-2328.4375899999941</v>
      </c>
      <c r="AS54" s="60">
        <v>-3621.5803899999955</v>
      </c>
      <c r="AT54" s="60"/>
      <c r="AU54" s="60"/>
      <c r="AV54" s="60"/>
      <c r="AW54" s="60"/>
      <c r="AX54" s="60"/>
      <c r="AY54" s="60"/>
      <c r="AZ54" s="60"/>
      <c r="BA54" s="60"/>
      <c r="BB54" s="60"/>
      <c r="BC54" s="60"/>
      <c r="BD54" s="60"/>
      <c r="BE54" s="60"/>
      <c r="BF54" s="60"/>
      <c r="BG54" s="60"/>
      <c r="BH54" s="60"/>
      <c r="BI54" s="60"/>
      <c r="BJ54" s="60"/>
      <c r="BK54" s="60"/>
      <c r="BL54" s="60"/>
      <c r="BM54" s="60"/>
      <c r="BN54" s="60"/>
      <c r="BO54" s="60"/>
      <c r="BP54" s="60"/>
      <c r="BQ54" s="60"/>
      <c r="BR54" s="60"/>
      <c r="BS54" s="60"/>
      <c r="BT54" s="60"/>
      <c r="BU54" s="60"/>
      <c r="BV54" s="60"/>
    </row>
    <row r="55" spans="2:74" hidden="1" outlineLevel="2" x14ac:dyDescent="0.35">
      <c r="B55" s="65" t="s">
        <v>71</v>
      </c>
      <c r="C55" s="61">
        <f t="shared" ref="C55:N55" si="115">SUM(C53:C54)</f>
        <v>-966.19213311003659</v>
      </c>
      <c r="D55" s="61">
        <f t="shared" si="115"/>
        <v>-3622.9210610000064</v>
      </c>
      <c r="E55" s="61">
        <f t="shared" si="115"/>
        <v>-23377.781993999979</v>
      </c>
      <c r="F55" s="61">
        <f t="shared" si="115"/>
        <v>-17492.691763600036</v>
      </c>
      <c r="G55" s="61">
        <f t="shared" si="115"/>
        <v>-499.07819999994535</v>
      </c>
      <c r="H55" s="61">
        <f t="shared" si="115"/>
        <v>4431.9550399999553</v>
      </c>
      <c r="I55" s="61">
        <f t="shared" si="115"/>
        <v>2915.8158900298731</v>
      </c>
      <c r="J55" s="61">
        <f t="shared" si="115"/>
        <v>-1778.1534738131486</v>
      </c>
      <c r="K55" s="61">
        <f t="shared" si="115"/>
        <v>18374.610894818485</v>
      </c>
      <c r="L55" s="61">
        <f t="shared" si="115"/>
        <v>9970.4423058700413</v>
      </c>
      <c r="M55" s="61">
        <f t="shared" si="115"/>
        <v>9298.0714876242237</v>
      </c>
      <c r="N55" s="61">
        <f t="shared" si="115"/>
        <v>143609.86257558345</v>
      </c>
      <c r="O55" s="61">
        <f>SUM(O53:O54)</f>
        <v>-8552.7134999999889</v>
      </c>
      <c r="P55" s="61">
        <f t="shared" ref="P55:Z55" si="116">SUM(P53:P54)</f>
        <v>-14790.846550000015</v>
      </c>
      <c r="Q55" s="61">
        <f t="shared" si="116"/>
        <v>-5537.6449399999419</v>
      </c>
      <c r="R55" s="61">
        <f t="shared" si="116"/>
        <v>-8852.6303700000044</v>
      </c>
      <c r="S55" s="61">
        <f t="shared" si="116"/>
        <v>37623.16659999999</v>
      </c>
      <c r="T55" s="61">
        <f t="shared" si="116"/>
        <v>9914.8613499999556</v>
      </c>
      <c r="U55" s="61">
        <f t="shared" si="116"/>
        <v>15615.807279999968</v>
      </c>
      <c r="V55" s="61">
        <f t="shared" si="116"/>
        <v>0</v>
      </c>
      <c r="W55" s="61">
        <f t="shared" si="116"/>
        <v>0</v>
      </c>
      <c r="X55" s="61">
        <f t="shared" si="116"/>
        <v>0</v>
      </c>
      <c r="Y55" s="61">
        <f t="shared" si="116"/>
        <v>0</v>
      </c>
      <c r="Z55" s="61">
        <f t="shared" si="116"/>
        <v>0</v>
      </c>
      <c r="AA55" s="61">
        <f>SUM(AA53:AA54)</f>
        <v>-8552.7134999999889</v>
      </c>
      <c r="AB55" s="61">
        <f t="shared" ref="AB55:AL55" si="117">SUM(AB53:AB54)</f>
        <v>-14790.846550000015</v>
      </c>
      <c r="AC55" s="61">
        <f t="shared" si="117"/>
        <v>-5537.6449399999419</v>
      </c>
      <c r="AD55" s="61">
        <f t="shared" si="117"/>
        <v>-8852.6303700000044</v>
      </c>
      <c r="AE55" s="61">
        <f t="shared" si="117"/>
        <v>37623.16659999999</v>
      </c>
      <c r="AF55" s="61">
        <f t="shared" si="117"/>
        <v>9914.8613499999556</v>
      </c>
      <c r="AG55" s="61">
        <f t="shared" si="117"/>
        <v>15615.807279999968</v>
      </c>
      <c r="AH55" s="61">
        <f t="shared" si="117"/>
        <v>0</v>
      </c>
      <c r="AI55" s="61">
        <f t="shared" si="117"/>
        <v>0</v>
      </c>
      <c r="AJ55" s="61">
        <f t="shared" si="117"/>
        <v>0</v>
      </c>
      <c r="AK55" s="61">
        <f t="shared" si="117"/>
        <v>0</v>
      </c>
      <c r="AL55" s="61">
        <f t="shared" si="117"/>
        <v>0</v>
      </c>
      <c r="AM55" s="61">
        <v>-8552.7134999999889</v>
      </c>
      <c r="AN55" s="61">
        <v>-14790.846550000015</v>
      </c>
      <c r="AO55" s="61">
        <v>-5537.6449399999419</v>
      </c>
      <c r="AP55" s="61">
        <v>-8852.6303700000044</v>
      </c>
      <c r="AQ55" s="61">
        <v>37623.16659999999</v>
      </c>
      <c r="AR55" s="61">
        <v>9914.8613499999556</v>
      </c>
      <c r="AS55" s="61">
        <v>15615.807279999968</v>
      </c>
      <c r="AT55" s="61">
        <v>0</v>
      </c>
      <c r="AU55" s="61">
        <v>0</v>
      </c>
      <c r="AV55" s="61">
        <v>0</v>
      </c>
      <c r="AW55" s="61">
        <v>0</v>
      </c>
      <c r="AX55" s="61">
        <v>0</v>
      </c>
      <c r="AY55" s="61"/>
      <c r="AZ55" s="61"/>
      <c r="BA55" s="61"/>
      <c r="BB55" s="61"/>
      <c r="BC55" s="61"/>
      <c r="BD55" s="61"/>
      <c r="BE55" s="61"/>
      <c r="BF55" s="61"/>
      <c r="BG55" s="61"/>
      <c r="BH55" s="61"/>
      <c r="BI55" s="61"/>
      <c r="BJ55" s="61"/>
      <c r="BK55" s="61"/>
      <c r="BL55" s="61"/>
      <c r="BM55" s="61"/>
      <c r="BN55" s="61"/>
      <c r="BO55" s="61"/>
      <c r="BP55" s="61"/>
      <c r="BQ55" s="61"/>
      <c r="BR55" s="61"/>
      <c r="BS55" s="61"/>
      <c r="BT55" s="61"/>
      <c r="BU55" s="61"/>
      <c r="BV55" s="61"/>
    </row>
    <row r="56" spans="2:74" hidden="1" outlineLevel="2" x14ac:dyDescent="0.35">
      <c r="C56" s="41"/>
      <c r="D56" s="41"/>
      <c r="E56" s="41"/>
      <c r="F56" s="41"/>
      <c r="G56" s="41"/>
    </row>
    <row r="57" spans="2:74" hidden="1" outlineLevel="2" x14ac:dyDescent="0.35">
      <c r="C57" s="41"/>
      <c r="D57" s="41"/>
      <c r="E57" s="41"/>
      <c r="F57" s="41"/>
      <c r="G57" s="41"/>
      <c r="Z57" s="66"/>
    </row>
    <row r="58" spans="2:74" hidden="1" outlineLevel="2" x14ac:dyDescent="0.35">
      <c r="C58" s="41"/>
      <c r="D58" s="41"/>
      <c r="E58" s="41"/>
      <c r="F58" s="41"/>
      <c r="G58" s="41"/>
    </row>
    <row r="59" spans="2:74" hidden="1" outlineLevel="2" x14ac:dyDescent="0.35"/>
    <row r="60" spans="2:74" ht="14.25" hidden="1" outlineLevel="1" x14ac:dyDescent="0.45">
      <c r="B60" t="s">
        <v>77</v>
      </c>
      <c r="C60" s="41"/>
      <c r="D60" s="41"/>
      <c r="E60" s="41"/>
      <c r="F60" s="41"/>
      <c r="G60" s="41"/>
      <c r="O60" s="101">
        <v>52.707756359999983</v>
      </c>
      <c r="P60" s="101">
        <v>53.037658499999985</v>
      </c>
      <c r="Q60" s="101">
        <v>63.107429419999917</v>
      </c>
      <c r="R60" s="101">
        <v>58.863132679999978</v>
      </c>
      <c r="S60" s="101">
        <v>94.454987960000011</v>
      </c>
      <c r="T60" s="101">
        <v>101.59561704000001</v>
      </c>
      <c r="U60" s="101">
        <v>101.32744597000003</v>
      </c>
      <c r="V60" s="101">
        <v>107.14762888000003</v>
      </c>
      <c r="W60" s="101">
        <v>147.33617953000004</v>
      </c>
      <c r="X60" s="101">
        <v>132.77134141000005</v>
      </c>
      <c r="Y60" s="101">
        <v>215.70267458999871</v>
      </c>
      <c r="Z60" s="101">
        <v>335.11541636000084</v>
      </c>
      <c r="AA60" s="101">
        <v>93.910297629999846</v>
      </c>
      <c r="AB60" s="101">
        <v>90.224407079999921</v>
      </c>
      <c r="AC60" s="101">
        <v>90.874310409999978</v>
      </c>
      <c r="AD60" s="101">
        <v>103.29240621999975</v>
      </c>
      <c r="AE60" s="101">
        <v>96.686267749999502</v>
      </c>
      <c r="AF60" s="101">
        <v>121.12408519999975</v>
      </c>
      <c r="AG60" s="101">
        <v>107.70193424999978</v>
      </c>
      <c r="AH60" s="101">
        <v>124.04144121999995</v>
      </c>
      <c r="AI60" s="101">
        <v>152.46837451999954</v>
      </c>
      <c r="AJ60" s="101">
        <v>139.97031513999977</v>
      </c>
      <c r="AK60" s="101">
        <v>236.34544200000073</v>
      </c>
      <c r="AL60" s="101">
        <v>379.42962329000034</v>
      </c>
      <c r="AM60" s="101">
        <v>113.73018589999998</v>
      </c>
      <c r="AN60" s="101">
        <v>104.12028012999987</v>
      </c>
      <c r="AO60" s="101">
        <v>105.2257101</v>
      </c>
      <c r="AP60" s="101">
        <v>116.00070937999999</v>
      </c>
      <c r="AQ60" s="101">
        <v>107.99652834999996</v>
      </c>
      <c r="AR60" s="101">
        <v>117.1882487299998</v>
      </c>
      <c r="AS60" s="101">
        <v>108.40903461999994</v>
      </c>
      <c r="AT60" s="101">
        <v>122.96567038999997</v>
      </c>
      <c r="AU60" s="101">
        <v>144.07930571999978</v>
      </c>
      <c r="AV60" s="101">
        <v>153.09803889999966</v>
      </c>
      <c r="AW60" s="101">
        <v>224.77565604999995</v>
      </c>
      <c r="AX60" s="101">
        <v>402.62975339000047</v>
      </c>
      <c r="AY60" s="101"/>
      <c r="AZ60" s="101"/>
      <c r="BA60" s="101"/>
      <c r="BB60" s="101"/>
      <c r="BC60" s="101"/>
      <c r="BD60" s="101"/>
      <c r="BE60" s="101"/>
      <c r="BF60" s="101"/>
      <c r="BG60" s="101"/>
      <c r="BH60" s="101"/>
      <c r="BI60" s="101"/>
      <c r="BJ60" s="101"/>
      <c r="BK60" s="101"/>
      <c r="BL60" s="101"/>
      <c r="BM60" s="101"/>
      <c r="BN60" s="101"/>
      <c r="BO60" s="101"/>
      <c r="BP60" s="101"/>
      <c r="BQ60" s="101"/>
      <c r="BR60" s="101"/>
      <c r="BS60" s="101"/>
      <c r="BT60" s="101"/>
      <c r="BU60" s="101"/>
      <c r="BV60" s="101"/>
    </row>
    <row r="61" spans="2:74" ht="14.25" hidden="1" outlineLevel="1" x14ac:dyDescent="0.45">
      <c r="B61" t="s">
        <v>78</v>
      </c>
      <c r="C61" s="41"/>
      <c r="D61" s="41"/>
      <c r="E61" s="41"/>
      <c r="F61" s="41"/>
      <c r="G61" s="41"/>
      <c r="O61" s="101">
        <v>41.105715490000044</v>
      </c>
      <c r="P61" s="101">
        <v>39.324134439999717</v>
      </c>
      <c r="Q61" s="101">
        <v>51.890035809999794</v>
      </c>
      <c r="R61" s="101">
        <v>40.994363529999333</v>
      </c>
      <c r="S61" s="101">
        <v>35.271321719999598</v>
      </c>
      <c r="T61" s="101">
        <v>32.029011689999997</v>
      </c>
      <c r="U61" s="101">
        <v>33.353793259999982</v>
      </c>
      <c r="V61" s="101">
        <v>37.079489760000044</v>
      </c>
      <c r="W61" s="101">
        <v>54.48800552000003</v>
      </c>
      <c r="X61" s="101">
        <v>50.067123329999987</v>
      </c>
      <c r="Y61" s="101">
        <v>79.788116500000243</v>
      </c>
      <c r="Z61" s="101">
        <v>98.83700247000084</v>
      </c>
      <c r="AA61" s="101">
        <v>31.861052210000008</v>
      </c>
      <c r="AB61" s="101">
        <v>30.853801900000015</v>
      </c>
      <c r="AC61" s="101">
        <v>29.934644920000043</v>
      </c>
      <c r="AD61" s="101">
        <v>30.557727580000076</v>
      </c>
      <c r="AE61" s="101">
        <v>28.437464410600217</v>
      </c>
      <c r="AF61" s="101">
        <v>31.988825756600296</v>
      </c>
      <c r="AG61" s="101">
        <v>28.615917498000119</v>
      </c>
      <c r="AH61" s="101">
        <v>38.243041548100074</v>
      </c>
      <c r="AI61" s="101">
        <v>51.75045043600015</v>
      </c>
      <c r="AJ61" s="101">
        <v>47.740837139900044</v>
      </c>
      <c r="AK61" s="101">
        <v>87.866548606700036</v>
      </c>
      <c r="AL61" s="101">
        <v>104.06651519199987</v>
      </c>
      <c r="AM61" s="101">
        <v>30.91774489469989</v>
      </c>
      <c r="AN61" s="101">
        <v>28.810758584300011</v>
      </c>
      <c r="AO61" s="101">
        <v>29.172433458900255</v>
      </c>
      <c r="AP61" s="101">
        <v>32.173241769800107</v>
      </c>
      <c r="AQ61" s="101">
        <v>34.34585241470014</v>
      </c>
      <c r="AR61" s="101">
        <v>29.0695404306001</v>
      </c>
      <c r="AS61" s="101">
        <v>26.925941202799937</v>
      </c>
      <c r="AT61" s="101">
        <v>34.07081003640014</v>
      </c>
      <c r="AU61" s="101">
        <v>43.327482930499976</v>
      </c>
      <c r="AV61" s="101">
        <v>52.420752063599956</v>
      </c>
      <c r="AW61" s="101">
        <v>79.196449205699807</v>
      </c>
      <c r="AX61" s="101">
        <v>114.78475678859974</v>
      </c>
      <c r="AY61" s="101"/>
      <c r="AZ61" s="101"/>
      <c r="BA61" s="101"/>
      <c r="BB61" s="101"/>
      <c r="BC61" s="101"/>
      <c r="BD61" s="101"/>
      <c r="BE61" s="101"/>
      <c r="BF61" s="41"/>
      <c r="BG61" s="101"/>
      <c r="BH61" s="101"/>
      <c r="BI61" s="101"/>
      <c r="BJ61" s="101"/>
      <c r="BK61" s="101"/>
      <c r="BL61" s="101"/>
      <c r="BM61" s="101"/>
      <c r="BN61" s="101"/>
      <c r="BO61" s="101"/>
      <c r="BP61" s="101"/>
      <c r="BQ61" s="101"/>
      <c r="BR61" s="41"/>
      <c r="BS61" s="101"/>
      <c r="BT61" s="101"/>
      <c r="BU61" s="101"/>
      <c r="BV61" s="101"/>
    </row>
    <row r="62" spans="2:74" hidden="1" outlineLevel="1" x14ac:dyDescent="0.35">
      <c r="BF62" s="167"/>
      <c r="BR62" s="167"/>
    </row>
    <row r="63" spans="2:74" hidden="1" outlineLevel="1" x14ac:dyDescent="0.35">
      <c r="C63" s="41"/>
      <c r="D63" s="41"/>
      <c r="E63" s="41"/>
      <c r="F63" s="41"/>
      <c r="G63" s="41"/>
      <c r="O63" s="102"/>
    </row>
    <row r="64" spans="2:74" hidden="1" outlineLevel="1" x14ac:dyDescent="0.35">
      <c r="B64" s="35" t="s">
        <v>79</v>
      </c>
      <c r="C64" s="41"/>
      <c r="D64" s="41"/>
      <c r="E64" s="41"/>
      <c r="F64" s="41"/>
      <c r="G64" s="41"/>
      <c r="H64" s="41"/>
      <c r="I64" s="41"/>
      <c r="J64" s="41"/>
      <c r="K64" s="41"/>
      <c r="L64" s="41"/>
      <c r="M64" s="41"/>
      <c r="N64" s="41"/>
      <c r="O64" s="99">
        <f t="shared" ref="O64:AL64" si="118">O61/O60</f>
        <v>0.77987981900127412</v>
      </c>
      <c r="P64" s="99">
        <f t="shared" si="118"/>
        <v>0.74143798109035541</v>
      </c>
      <c r="Q64" s="99">
        <f t="shared" si="118"/>
        <v>0.82224923890743806</v>
      </c>
      <c r="R64" s="99">
        <f t="shared" si="118"/>
        <v>0.69643530107136231</v>
      </c>
      <c r="S64" s="99">
        <f t="shared" si="118"/>
        <v>0.3734193660046452</v>
      </c>
      <c r="T64" s="99">
        <f t="shared" si="118"/>
        <v>0.31525977815942202</v>
      </c>
      <c r="U64" s="99">
        <f t="shared" si="118"/>
        <v>0.32916839994047642</v>
      </c>
      <c r="V64" s="99">
        <f t="shared" si="118"/>
        <v>0.34605982556578285</v>
      </c>
      <c r="W64" s="99">
        <f t="shared" si="118"/>
        <v>0.36982094753519373</v>
      </c>
      <c r="X64" s="99">
        <f t="shared" si="118"/>
        <v>0.3770928484889815</v>
      </c>
      <c r="Y64" s="99">
        <f t="shared" si="118"/>
        <v>0.36989859607285419</v>
      </c>
      <c r="Z64" s="99">
        <f t="shared" si="118"/>
        <v>0.2949342156310239</v>
      </c>
      <c r="AA64" s="99">
        <f t="shared" si="118"/>
        <v>0.33927112376462032</v>
      </c>
      <c r="AB64" s="99">
        <f t="shared" si="118"/>
        <v>0.3419673556030427</v>
      </c>
      <c r="AC64" s="99">
        <f t="shared" si="118"/>
        <v>0.3294071205046083</v>
      </c>
      <c r="AD64" s="99">
        <f t="shared" si="118"/>
        <v>0.29583711618563696</v>
      </c>
      <c r="AE64" s="99">
        <f t="shared" si="118"/>
        <v>0.29412102744653068</v>
      </c>
      <c r="AF64" s="99">
        <f t="shared" si="118"/>
        <v>0.2640996272853614</v>
      </c>
      <c r="AG64" s="99">
        <f t="shared" si="118"/>
        <v>0.26569548353306549</v>
      </c>
      <c r="AH64" s="99">
        <f t="shared" si="118"/>
        <v>0.30830858761365243</v>
      </c>
      <c r="AI64" s="99">
        <f t="shared" si="118"/>
        <v>0.33941760446335678</v>
      </c>
      <c r="AJ64" s="99">
        <f t="shared" si="118"/>
        <v>0.34107830001060696</v>
      </c>
      <c r="AK64" s="99">
        <f t="shared" si="118"/>
        <v>0.37177170781529084</v>
      </c>
      <c r="AL64" s="99">
        <f t="shared" si="118"/>
        <v>0.27427092879477472</v>
      </c>
      <c r="AM64" s="99">
        <v>0.27185170454117663</v>
      </c>
      <c r="AN64" s="99">
        <v>0.27670650279012121</v>
      </c>
      <c r="AO64" s="99">
        <v>0.27723674595473463</v>
      </c>
      <c r="AP64" s="99">
        <v>0.27735383638392808</v>
      </c>
      <c r="AQ64" s="99">
        <v>0.3180273749484851</v>
      </c>
      <c r="AR64" s="99">
        <v>0.24805849345505573</v>
      </c>
      <c r="AS64" s="99">
        <v>0.2483735907914125</v>
      </c>
      <c r="AT64" s="99">
        <v>0.27707578813127753</v>
      </c>
      <c r="AU64" s="99">
        <v>0.3007196815252674</v>
      </c>
      <c r="AV64" s="99">
        <v>0.34239989251488756</v>
      </c>
      <c r="AW64" s="99">
        <v>0.35233552688678638</v>
      </c>
      <c r="AX64" s="99">
        <v>0.28508761665563109</v>
      </c>
      <c r="AY64" s="166"/>
      <c r="AZ64" s="99"/>
      <c r="BA64" s="99"/>
      <c r="BB64" s="99"/>
      <c r="BC64" s="99"/>
      <c r="BD64" s="99"/>
      <c r="BE64" s="99"/>
      <c r="BF64" s="99"/>
      <c r="BG64" s="99"/>
      <c r="BH64" s="99"/>
      <c r="BI64" s="99"/>
      <c r="BJ64" s="99"/>
      <c r="BK64" s="166"/>
      <c r="BL64" s="99"/>
      <c r="BM64" s="99"/>
      <c r="BN64" s="99"/>
      <c r="BO64" s="99"/>
      <c r="BP64" s="99"/>
      <c r="BQ64" s="99"/>
      <c r="BR64" s="99"/>
      <c r="BS64" s="99"/>
      <c r="BT64" s="99"/>
      <c r="BU64" s="99"/>
      <c r="BV64" s="99"/>
    </row>
    <row r="65" spans="2:77" hidden="1" outlineLevel="1" x14ac:dyDescent="0.35">
      <c r="B65" s="35" t="s">
        <v>80</v>
      </c>
      <c r="C65" s="41">
        <v>64962506.119999982</v>
      </c>
      <c r="D65" s="41">
        <v>57204481.370000005</v>
      </c>
      <c r="E65" s="41">
        <v>26642111.920000002</v>
      </c>
      <c r="F65" s="41">
        <v>12381605.49</v>
      </c>
      <c r="G65" s="41">
        <v>39377329.789999999</v>
      </c>
      <c r="H65" s="41">
        <v>54760930.339999981</v>
      </c>
      <c r="I65" s="41">
        <v>54328857.470000014</v>
      </c>
      <c r="J65" s="41">
        <v>56543769.150000006</v>
      </c>
      <c r="K65" s="41">
        <v>68226943.479999989</v>
      </c>
      <c r="L65" s="41">
        <v>50164384.719999976</v>
      </c>
      <c r="M65" s="41">
        <v>37152306.980000004</v>
      </c>
      <c r="N65" s="41">
        <v>182536754.72999996</v>
      </c>
      <c r="O65" s="105">
        <v>21710787.199999999</v>
      </c>
      <c r="P65" s="41">
        <v>21905781.689999994</v>
      </c>
      <c r="Q65" s="41">
        <v>22128555.489999998</v>
      </c>
      <c r="R65" s="41">
        <v>16490710.450000001</v>
      </c>
      <c r="S65" s="41">
        <v>52682089.239999987</v>
      </c>
      <c r="T65" s="41">
        <v>61767077.989999972</v>
      </c>
      <c r="U65" s="41">
        <v>66058237.189999968</v>
      </c>
      <c r="V65" s="41">
        <v>68535637.140000015</v>
      </c>
      <c r="W65" s="41">
        <v>89426844.989999965</v>
      </c>
      <c r="X65" s="41">
        <v>83761898.620000005</v>
      </c>
      <c r="Y65" s="41">
        <v>122706350.10000011</v>
      </c>
      <c r="Z65" s="41">
        <v>236728921.5400002</v>
      </c>
      <c r="AA65" s="41">
        <v>63061600.449999981</v>
      </c>
      <c r="AB65" s="41">
        <v>56622012.350000024</v>
      </c>
      <c r="AC65" s="41">
        <v>60028676.740000002</v>
      </c>
      <c r="AD65" s="41">
        <v>65340163.969999999</v>
      </c>
      <c r="AE65" s="41">
        <v>64698638.562400021</v>
      </c>
      <c r="AF65" s="41">
        <v>76050187.491700113</v>
      </c>
      <c r="AG65" s="41">
        <v>72534631.293699875</v>
      </c>
      <c r="AH65" s="41">
        <v>82086390.770100057</v>
      </c>
      <c r="AI65" s="41">
        <v>94891808.74330005</v>
      </c>
      <c r="AJ65" s="21">
        <v>90374681.861400113</v>
      </c>
      <c r="AK65" s="41">
        <v>133040784.55129999</v>
      </c>
      <c r="AL65" s="41">
        <v>263097030.69220001</v>
      </c>
      <c r="AM65" s="41">
        <v>76178048.190600052</v>
      </c>
      <c r="AN65" s="41">
        <v>67482045.157899886</v>
      </c>
      <c r="AO65" s="41">
        <v>68659029.592900068</v>
      </c>
      <c r="AP65" s="41">
        <v>81985946.549999937</v>
      </c>
      <c r="AQ65" s="41">
        <v>77475684.400000036</v>
      </c>
      <c r="AR65" s="41">
        <v>85805411.530300006</v>
      </c>
      <c r="AS65" s="41">
        <v>80970478.165199965</v>
      </c>
      <c r="AT65" s="41">
        <v>90576444.619900033</v>
      </c>
      <c r="AU65" s="41">
        <v>105006895.69930005</v>
      </c>
      <c r="AV65" s="41">
        <v>107918467.58859999</v>
      </c>
      <c r="AW65" s="41">
        <v>150943397.63719988</v>
      </c>
      <c r="AX65" s="41">
        <v>314681047.72410029</v>
      </c>
      <c r="AY65" s="41"/>
      <c r="AZ65" s="41"/>
      <c r="BA65" s="41"/>
      <c r="BB65" s="41"/>
      <c r="BC65" s="41"/>
      <c r="BD65" s="41"/>
      <c r="BE65" s="41"/>
      <c r="BF65" s="41"/>
      <c r="BG65" s="41"/>
      <c r="BH65" s="41"/>
      <c r="BI65" s="41"/>
      <c r="BJ65" s="41"/>
      <c r="BK65" s="41"/>
      <c r="BL65" s="41"/>
      <c r="BM65" s="41"/>
      <c r="BN65" s="41"/>
      <c r="BO65" s="41"/>
      <c r="BP65" s="41"/>
      <c r="BQ65" s="41"/>
      <c r="BR65" s="41"/>
      <c r="BS65" s="41"/>
      <c r="BT65" s="41"/>
      <c r="BU65" s="41"/>
      <c r="BV65" s="41"/>
    </row>
    <row r="66" spans="2:77" hidden="1" outlineLevel="1" x14ac:dyDescent="0.35">
      <c r="B66" s="35" t="s">
        <v>81</v>
      </c>
      <c r="C66" s="41">
        <v>34</v>
      </c>
      <c r="D66" s="41">
        <v>55</v>
      </c>
      <c r="E66" s="41">
        <v>53</v>
      </c>
      <c r="F66" s="41">
        <v>22</v>
      </c>
      <c r="G66" s="41">
        <v>42</v>
      </c>
      <c r="H66" s="41">
        <v>38</v>
      </c>
      <c r="I66" s="41">
        <v>39</v>
      </c>
      <c r="J66" s="41">
        <v>73</v>
      </c>
      <c r="K66" s="41">
        <v>88</v>
      </c>
      <c r="L66" s="41">
        <v>93</v>
      </c>
      <c r="M66" s="41">
        <v>79</v>
      </c>
      <c r="N66" s="41">
        <v>33</v>
      </c>
      <c r="O66" s="41">
        <v>54</v>
      </c>
      <c r="P66" s="41">
        <v>52</v>
      </c>
      <c r="Q66" s="41">
        <v>54</v>
      </c>
      <c r="R66" s="41">
        <v>49</v>
      </c>
      <c r="S66" s="41">
        <v>69</v>
      </c>
      <c r="T66" s="41">
        <v>60</v>
      </c>
      <c r="U66" s="41">
        <v>35</v>
      </c>
      <c r="V66" s="41">
        <v>70</v>
      </c>
      <c r="W66" s="41">
        <v>81</v>
      </c>
      <c r="X66" s="41">
        <v>83</v>
      </c>
      <c r="Y66" s="41">
        <v>78</v>
      </c>
      <c r="Z66" s="41">
        <v>49</v>
      </c>
      <c r="AA66" s="41">
        <v>22</v>
      </c>
      <c r="AB66" s="41">
        <v>43</v>
      </c>
      <c r="AC66" s="41">
        <v>51</v>
      </c>
      <c r="AD66" s="41">
        <v>44</v>
      </c>
      <c r="AE66" s="41">
        <v>65</v>
      </c>
      <c r="AF66" s="41">
        <v>61</v>
      </c>
      <c r="AG66" s="41">
        <v>43</v>
      </c>
      <c r="AH66" s="41">
        <v>68</v>
      </c>
      <c r="AI66" s="41">
        <v>65</v>
      </c>
      <c r="AJ66" s="41">
        <v>76</v>
      </c>
      <c r="AK66" s="41">
        <v>108</v>
      </c>
      <c r="AL66" s="41">
        <v>45</v>
      </c>
      <c r="AM66" s="41">
        <v>42</v>
      </c>
      <c r="AN66" s="41">
        <v>57</v>
      </c>
      <c r="AO66" s="41">
        <v>68</v>
      </c>
      <c r="AP66" s="41">
        <v>64</v>
      </c>
      <c r="AQ66" s="41">
        <v>73</v>
      </c>
      <c r="AR66" s="41">
        <v>54</v>
      </c>
      <c r="AS66" s="120">
        <v>62</v>
      </c>
      <c r="AT66" s="120">
        <v>71</v>
      </c>
      <c r="AU66" s="41">
        <v>72</v>
      </c>
      <c r="AV66" s="41">
        <v>92</v>
      </c>
      <c r="AW66" s="41">
        <v>72</v>
      </c>
      <c r="AX66" s="41">
        <v>34</v>
      </c>
      <c r="AY66" s="41"/>
      <c r="AZ66" s="41"/>
      <c r="BA66" s="41"/>
      <c r="BB66" s="41"/>
      <c r="BC66" s="41"/>
      <c r="BD66" s="41"/>
      <c r="BE66" s="41"/>
      <c r="BF66" s="41"/>
      <c r="BG66" s="41"/>
      <c r="BH66" s="41"/>
      <c r="BI66" s="41"/>
      <c r="BJ66" s="41"/>
      <c r="BK66" s="41"/>
      <c r="BL66" s="41"/>
      <c r="BM66" s="41"/>
      <c r="BN66" s="41"/>
      <c r="BO66" s="41"/>
      <c r="BP66" s="41"/>
      <c r="BQ66" s="41"/>
      <c r="BR66" s="41"/>
      <c r="BS66" s="41"/>
      <c r="BT66" s="41"/>
      <c r="BU66" s="41"/>
      <c r="BV66" s="41"/>
    </row>
    <row r="67" spans="2:77" x14ac:dyDescent="0.35">
      <c r="C67" s="41"/>
      <c r="D67" s="41"/>
      <c r="E67" s="41"/>
      <c r="F67" s="41"/>
      <c r="G67" s="41"/>
      <c r="AR67" s="41"/>
    </row>
    <row r="68" spans="2:77" ht="13.15" x14ac:dyDescent="0.4">
      <c r="B68" s="40" t="s">
        <v>82</v>
      </c>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v>-3.0500671100000001</v>
      </c>
      <c r="AN68" s="73">
        <v>-4.2835653799999998</v>
      </c>
      <c r="AO68" s="73">
        <v>-3.1833175099999997</v>
      </c>
      <c r="AP68" s="73">
        <v>-2.6113995000000001</v>
      </c>
      <c r="AQ68" s="73">
        <v>-2.2483568499999995</v>
      </c>
      <c r="AR68" s="73">
        <v>-3.2062310700000003</v>
      </c>
      <c r="AS68" s="73">
        <v>-2.9057045099999996</v>
      </c>
      <c r="AT68" s="73">
        <v>-2.37935929</v>
      </c>
      <c r="AU68" s="73">
        <v>-2.9858242933333328</v>
      </c>
      <c r="AV68" s="73">
        <v>-8.0805153233333336</v>
      </c>
      <c r="AW68" s="73">
        <v>-4.4395404833333334</v>
      </c>
      <c r="AX68" s="73">
        <v>-5.9849800133333337</v>
      </c>
      <c r="AY68" s="73">
        <v>-2.2248000000000001</v>
      </c>
      <c r="AZ68" s="73">
        <v>-3.0570247500000001</v>
      </c>
      <c r="BA68" s="73">
        <v>-3.0074378999999998</v>
      </c>
      <c r="BB68" s="73">
        <v>-5.2115612200000001</v>
      </c>
      <c r="BC68" s="73">
        <v>-5.0864120000000002</v>
      </c>
      <c r="BD68" s="73">
        <v>-3.0674610000000002</v>
      </c>
      <c r="BE68" s="73">
        <v>-8.298921</v>
      </c>
      <c r="BF68" s="73">
        <v>-1.34971</v>
      </c>
      <c r="BG68" s="73">
        <v>-2.5206789999999999</v>
      </c>
      <c r="BH68" s="73">
        <f>1.271317</f>
        <v>1.271317</v>
      </c>
      <c r="BI68" s="73">
        <f>1.473434</f>
        <v>1.4734339999999999</v>
      </c>
      <c r="BJ68" s="73">
        <f>-1.493617</f>
        <v>-1.493617</v>
      </c>
      <c r="BK68" s="73">
        <v>-0.1158723</v>
      </c>
      <c r="BL68" s="73">
        <v>-2.8465220000000003E-2</v>
      </c>
      <c r="BM68" s="73">
        <v>-8.5766339999999996E-2</v>
      </c>
      <c r="BN68" s="73">
        <v>-6.2408660000000005E-2</v>
      </c>
      <c r="BO68" s="73">
        <v>-0.12104445</v>
      </c>
      <c r="BP68" s="73">
        <v>-0.31743235999999997</v>
      </c>
      <c r="BQ68" s="73">
        <v>-0.17191128</v>
      </c>
      <c r="BR68" s="73">
        <v>-0.31674789000000003</v>
      </c>
      <c r="BS68" s="73">
        <v>-2.06090777</v>
      </c>
      <c r="BT68" s="73">
        <v>-1.2840819399999999</v>
      </c>
      <c r="BU68" s="73">
        <v>-4.1183368599999994</v>
      </c>
      <c r="BV68" s="73">
        <v>-5.24665377</v>
      </c>
      <c r="BW68" s="73">
        <v>-5.6250864316000007</v>
      </c>
      <c r="BX68" s="73">
        <v>-6.2722701255000004</v>
      </c>
      <c r="BY68" s="73"/>
    </row>
    <row r="69" spans="2:77" ht="13.15" x14ac:dyDescent="0.4">
      <c r="C69" s="74"/>
      <c r="D69" s="74"/>
      <c r="E69" s="74"/>
      <c r="F69" s="74"/>
      <c r="G69" s="74"/>
      <c r="H69" s="74"/>
      <c r="I69" s="74"/>
      <c r="J69" s="74"/>
      <c r="K69" s="74"/>
      <c r="L69" s="74"/>
      <c r="M69" s="74"/>
      <c r="N69" s="74"/>
      <c r="O69" s="74"/>
      <c r="P69" s="74"/>
      <c r="Q69" s="74"/>
      <c r="R69" s="74"/>
      <c r="S69" s="74"/>
      <c r="T69" s="74"/>
      <c r="U69" s="74"/>
      <c r="V69" s="74"/>
      <c r="W69" s="74"/>
      <c r="X69" s="74"/>
      <c r="Y69" s="74"/>
      <c r="Z69" s="74"/>
      <c r="AA69" s="74"/>
      <c r="AB69" s="74"/>
      <c r="AC69" s="74"/>
      <c r="AD69" s="74"/>
      <c r="AE69" s="74"/>
      <c r="AF69" s="74"/>
      <c r="AG69" s="74"/>
      <c r="AH69" s="74"/>
      <c r="AI69" s="74"/>
      <c r="AJ69" s="74"/>
      <c r="AK69" s="74"/>
      <c r="AL69" s="74"/>
      <c r="AM69" s="74"/>
    </row>
    <row r="70" spans="2:77" ht="13.15" x14ac:dyDescent="0.4">
      <c r="B70" s="21" t="s">
        <v>89</v>
      </c>
      <c r="BE70" s="193">
        <v>-0.1113930946799046</v>
      </c>
      <c r="BF70" s="193">
        <v>8.3905161261936385</v>
      </c>
      <c r="BG70" s="193">
        <v>33.436275711222059</v>
      </c>
      <c r="BH70" s="193">
        <v>23.22296975531037</v>
      </c>
      <c r="BI70" s="193">
        <v>87.870797924365519</v>
      </c>
      <c r="BJ70" s="193">
        <v>170.97230383102467</v>
      </c>
      <c r="BK70" s="193">
        <v>15.007476486399201</v>
      </c>
      <c r="BL70" s="193">
        <v>-2.774149111210972</v>
      </c>
      <c r="BM70" s="193">
        <v>0.7285939135864079</v>
      </c>
      <c r="BN70" s="193">
        <v>-3.8806700882310929</v>
      </c>
      <c r="BO70" s="193">
        <v>-4.7220831440299751</v>
      </c>
      <c r="BP70" s="193">
        <v>6.8343194877292515</v>
      </c>
      <c r="BQ70" s="125">
        <v>3.5674387477899492</v>
      </c>
      <c r="BR70" s="125">
        <v>5.3969623307514691</v>
      </c>
      <c r="BS70" s="125">
        <v>49.829856814067682</v>
      </c>
      <c r="BT70" s="125">
        <v>43.15223865408656</v>
      </c>
      <c r="BU70" s="195"/>
      <c r="BV70" s="195"/>
    </row>
    <row r="71" spans="2:77" x14ac:dyDescent="0.35">
      <c r="N71" s="21">
        <f>N23/23.8</f>
        <v>40.840336134453779</v>
      </c>
      <c r="BE71" s="134"/>
      <c r="BF71" s="134"/>
      <c r="BG71" s="134"/>
      <c r="BH71" s="134"/>
      <c r="BI71" s="134"/>
      <c r="BJ71" s="134"/>
      <c r="BK71" s="134"/>
      <c r="BL71" s="134"/>
      <c r="BM71" s="134"/>
      <c r="BN71" s="134"/>
      <c r="BO71" s="134"/>
      <c r="BP71" s="134"/>
      <c r="BQ71" s="134"/>
      <c r="BR71" s="134"/>
      <c r="BS71" s="134"/>
      <c r="BT71" s="134"/>
    </row>
    <row r="73" spans="2:77" x14ac:dyDescent="0.35">
      <c r="AV73" s="166">
        <f>SUM(AM65:AX65)/SUM(AA65:AL65)-1</f>
        <v>0.16567291963063857</v>
      </c>
    </row>
    <row r="74" spans="2:77" x14ac:dyDescent="0.35">
      <c r="B74" s="21">
        <v>-1</v>
      </c>
      <c r="C74" s="41"/>
      <c r="D74" s="41"/>
      <c r="E74" s="41"/>
      <c r="F74" s="41"/>
      <c r="G74" s="41"/>
      <c r="N74" s="111"/>
      <c r="Z74" s="110"/>
      <c r="AM74" s="110"/>
      <c r="AN74" s="110"/>
      <c r="AO74" s="110"/>
      <c r="AP74" s="110"/>
      <c r="AQ74" s="110"/>
      <c r="AR74" s="110"/>
      <c r="AS74" s="110"/>
      <c r="AT74" s="110"/>
      <c r="BE74" s="192"/>
    </row>
    <row r="75" spans="2:77" x14ac:dyDescent="0.35">
      <c r="B75" s="21">
        <v>1000000</v>
      </c>
      <c r="BE75" s="66"/>
    </row>
    <row r="76" spans="2:77" x14ac:dyDescent="0.35">
      <c r="BE76" s="111"/>
    </row>
  </sheetData>
  <mergeCells count="7">
    <mergeCell ref="BW10:CH10"/>
    <mergeCell ref="BK10:BV10"/>
    <mergeCell ref="O10:Z10"/>
    <mergeCell ref="C10:N10"/>
    <mergeCell ref="AA10:AL10"/>
    <mergeCell ref="AM10:AX10"/>
    <mergeCell ref="AY10:BJ10"/>
  </mergeCell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80C41-3C94-4A40-861F-C7075E13601A}">
  <sheetPr>
    <tabColor rgb="FF0070C0"/>
    <outlinePr summaryBelow="0" summaryRight="0"/>
  </sheetPr>
  <dimension ref="B2:CH75"/>
  <sheetViews>
    <sheetView showGridLines="0" tabSelected="1" zoomScaleNormal="100" workbookViewId="0">
      <pane xSplit="2" ySplit="11" topLeftCell="O15" activePane="bottomRight" state="frozen"/>
      <selection pane="topRight" activeCell="B25" sqref="A25:XFD25"/>
      <selection pane="bottomLeft" activeCell="B25" sqref="A25:XFD25"/>
      <selection pane="bottomRight" activeCell="BX26" sqref="O26:BX26"/>
    </sheetView>
  </sheetViews>
  <sheetFormatPr defaultColWidth="8.6640625" defaultRowHeight="12.75" outlineLevelRow="1" x14ac:dyDescent="0.35"/>
  <cols>
    <col min="1" max="1" width="2.6640625" style="21" customWidth="1"/>
    <col min="2" max="2" width="49.33203125" style="21" customWidth="1"/>
    <col min="3" max="38" width="10.6640625" style="21" customWidth="1"/>
    <col min="39" max="46" width="8.796875" style="21" customWidth="1"/>
    <col min="47" max="50" width="8.6640625" style="21"/>
    <col min="51" max="51" width="12.6640625" style="21" customWidth="1"/>
    <col min="52" max="53" width="11.6640625" style="21" customWidth="1"/>
    <col min="54" max="57" width="8.796875" style="21" customWidth="1"/>
    <col min="58" max="61" width="11.33203125" style="21" customWidth="1"/>
    <col min="62" max="62" width="12.33203125" style="21" customWidth="1"/>
    <col min="63" max="63" width="12.6640625" style="21" customWidth="1"/>
    <col min="64" max="65" width="11.6640625" style="21" customWidth="1"/>
    <col min="66" max="69" width="8.796875" style="21" customWidth="1"/>
    <col min="70" max="73" width="11.33203125" style="21" customWidth="1"/>
    <col min="74" max="74" width="12.33203125" style="21" customWidth="1"/>
    <col min="75" max="16384" width="8.6640625" style="21"/>
  </cols>
  <sheetData>
    <row r="2" spans="2:86" outlineLevel="1" x14ac:dyDescent="0.35">
      <c r="B2" s="22" t="s">
        <v>52</v>
      </c>
      <c r="C2" s="23">
        <f>C10</f>
        <v>20</v>
      </c>
      <c r="D2" s="23">
        <f>C10</f>
        <v>20</v>
      </c>
      <c r="E2" s="23">
        <f>C10</f>
        <v>20</v>
      </c>
      <c r="F2" s="23">
        <f>C10</f>
        <v>20</v>
      </c>
      <c r="G2" s="23">
        <f>C10</f>
        <v>20</v>
      </c>
      <c r="H2" s="23">
        <f>C10</f>
        <v>20</v>
      </c>
      <c r="I2" s="23">
        <f>C10</f>
        <v>20</v>
      </c>
      <c r="J2" s="23">
        <f>C10</f>
        <v>20</v>
      </c>
      <c r="K2" s="23">
        <f>C10</f>
        <v>20</v>
      </c>
      <c r="L2" s="23">
        <f>C10</f>
        <v>20</v>
      </c>
      <c r="M2" s="23">
        <f>C10</f>
        <v>20</v>
      </c>
      <c r="N2" s="23">
        <f>C10</f>
        <v>20</v>
      </c>
      <c r="O2" s="23">
        <f>O10</f>
        <v>21</v>
      </c>
      <c r="P2" s="23">
        <f>O10</f>
        <v>21</v>
      </c>
      <c r="Q2" s="23">
        <f>O10</f>
        <v>21</v>
      </c>
      <c r="R2" s="23">
        <f>O10</f>
        <v>21</v>
      </c>
      <c r="S2" s="23">
        <f>O10</f>
        <v>21</v>
      </c>
      <c r="T2" s="23">
        <f>O10</f>
        <v>21</v>
      </c>
      <c r="U2" s="23">
        <f>O10</f>
        <v>21</v>
      </c>
      <c r="V2" s="23">
        <f>O10</f>
        <v>21</v>
      </c>
      <c r="W2" s="23">
        <f>O10</f>
        <v>21</v>
      </c>
      <c r="X2" s="23">
        <f>O10</f>
        <v>21</v>
      </c>
      <c r="Y2" s="23">
        <f>O10</f>
        <v>21</v>
      </c>
      <c r="Z2" s="23">
        <f>O10</f>
        <v>21</v>
      </c>
      <c r="AA2" s="23">
        <f>AA10</f>
        <v>22</v>
      </c>
      <c r="AB2" s="23">
        <f>AA10</f>
        <v>22</v>
      </c>
      <c r="AC2" s="23">
        <f>AA10</f>
        <v>22</v>
      </c>
      <c r="AD2" s="23">
        <f>AA10</f>
        <v>22</v>
      </c>
      <c r="AE2" s="23">
        <f>AA10</f>
        <v>22</v>
      </c>
      <c r="AF2" s="23">
        <f>AA10</f>
        <v>22</v>
      </c>
      <c r="AG2" s="23">
        <f>AA10</f>
        <v>22</v>
      </c>
      <c r="AH2" s="23">
        <f>AA10</f>
        <v>22</v>
      </c>
      <c r="AI2" s="23">
        <f>AA10</f>
        <v>22</v>
      </c>
      <c r="AJ2" s="23">
        <f>AA10</f>
        <v>22</v>
      </c>
      <c r="AK2" s="23">
        <f>AA10</f>
        <v>22</v>
      </c>
      <c r="AL2" s="23">
        <f>AA10</f>
        <v>22</v>
      </c>
      <c r="AM2" s="23">
        <f>AM10</f>
        <v>23</v>
      </c>
      <c r="AN2" s="23">
        <f>AM2</f>
        <v>23</v>
      </c>
      <c r="AO2" s="23">
        <f t="shared" ref="AO2:AX2" si="0">AN2</f>
        <v>23</v>
      </c>
      <c r="AP2" s="23">
        <f t="shared" si="0"/>
        <v>23</v>
      </c>
      <c r="AQ2" s="23">
        <f t="shared" si="0"/>
        <v>23</v>
      </c>
      <c r="AR2" s="23">
        <f t="shared" si="0"/>
        <v>23</v>
      </c>
      <c r="AS2" s="23">
        <f t="shared" si="0"/>
        <v>23</v>
      </c>
      <c r="AT2" s="23">
        <f t="shared" si="0"/>
        <v>23</v>
      </c>
      <c r="AU2" s="23">
        <f t="shared" si="0"/>
        <v>23</v>
      </c>
      <c r="AV2" s="23">
        <f t="shared" si="0"/>
        <v>23</v>
      </c>
      <c r="AW2" s="23">
        <f t="shared" si="0"/>
        <v>23</v>
      </c>
      <c r="AX2" s="23">
        <f t="shared" si="0"/>
        <v>23</v>
      </c>
      <c r="AY2" s="23">
        <f>AY10</f>
        <v>24</v>
      </c>
      <c r="AZ2" s="23">
        <f t="shared" ref="AZ2:BJ2" si="1">AY2</f>
        <v>24</v>
      </c>
      <c r="BA2" s="23">
        <f t="shared" si="1"/>
        <v>24</v>
      </c>
      <c r="BB2" s="23">
        <f t="shared" si="1"/>
        <v>24</v>
      </c>
      <c r="BC2" s="23">
        <f t="shared" si="1"/>
        <v>24</v>
      </c>
      <c r="BD2" s="23">
        <f t="shared" si="1"/>
        <v>24</v>
      </c>
      <c r="BE2" s="23">
        <f t="shared" si="1"/>
        <v>24</v>
      </c>
      <c r="BF2" s="23">
        <f t="shared" si="1"/>
        <v>24</v>
      </c>
      <c r="BG2" s="23">
        <f t="shared" si="1"/>
        <v>24</v>
      </c>
      <c r="BH2" s="23">
        <f t="shared" si="1"/>
        <v>24</v>
      </c>
      <c r="BI2" s="23">
        <f t="shared" si="1"/>
        <v>24</v>
      </c>
      <c r="BJ2" s="23">
        <f t="shared" si="1"/>
        <v>24</v>
      </c>
      <c r="BK2" s="23">
        <f>BK10</f>
        <v>25</v>
      </c>
      <c r="BL2" s="23">
        <f t="shared" ref="BL2" si="2">BK2</f>
        <v>25</v>
      </c>
      <c r="BM2" s="23">
        <f t="shared" ref="BM2" si="3">BL2</f>
        <v>25</v>
      </c>
      <c r="BN2" s="23">
        <f t="shared" ref="BN2" si="4">BM2</f>
        <v>25</v>
      </c>
      <c r="BO2" s="23">
        <f t="shared" ref="BO2" si="5">BN2</f>
        <v>25</v>
      </c>
      <c r="BP2" s="23">
        <f t="shared" ref="BP2" si="6">BO2</f>
        <v>25</v>
      </c>
      <c r="BQ2" s="23">
        <f t="shared" ref="BQ2" si="7">BP2</f>
        <v>25</v>
      </c>
      <c r="BR2" s="23">
        <f t="shared" ref="BR2" si="8">BQ2</f>
        <v>25</v>
      </c>
      <c r="BS2" s="23">
        <f t="shared" ref="BS2" si="9">BR2</f>
        <v>25</v>
      </c>
      <c r="BT2" s="23">
        <f t="shared" ref="BT2" si="10">BS2</f>
        <v>25</v>
      </c>
      <c r="BU2" s="23">
        <f t="shared" ref="BU2" si="11">BT2</f>
        <v>25</v>
      </c>
      <c r="BV2" s="23">
        <f t="shared" ref="BV2" si="12">BU2</f>
        <v>25</v>
      </c>
      <c r="BW2" s="23">
        <f>BW10</f>
        <v>26</v>
      </c>
      <c r="BX2" s="23">
        <f t="shared" ref="BX2" si="13">BW2</f>
        <v>26</v>
      </c>
      <c r="BY2" s="23">
        <f t="shared" ref="BY2" si="14">BX2</f>
        <v>26</v>
      </c>
      <c r="BZ2" s="23">
        <f t="shared" ref="BZ2" si="15">BY2</f>
        <v>26</v>
      </c>
      <c r="CA2" s="23">
        <f t="shared" ref="CA2" si="16">BZ2</f>
        <v>26</v>
      </c>
      <c r="CB2" s="23">
        <f t="shared" ref="CB2" si="17">CA2</f>
        <v>26</v>
      </c>
      <c r="CC2" s="23">
        <f t="shared" ref="CC2" si="18">CB2</f>
        <v>26</v>
      </c>
      <c r="CD2" s="23">
        <f t="shared" ref="CD2" si="19">CC2</f>
        <v>26</v>
      </c>
      <c r="CE2" s="23">
        <f t="shared" ref="CE2" si="20">CD2</f>
        <v>26</v>
      </c>
      <c r="CF2" s="23">
        <f t="shared" ref="CF2" si="21">CE2</f>
        <v>26</v>
      </c>
      <c r="CG2" s="23">
        <f t="shared" ref="CG2" si="22">CF2</f>
        <v>26</v>
      </c>
      <c r="CH2" s="23">
        <f t="shared" ref="CH2" si="23">CG2</f>
        <v>26</v>
      </c>
    </row>
    <row r="3" spans="2:86" outlineLevel="1" x14ac:dyDescent="0.35">
      <c r="B3" s="22" t="s">
        <v>49</v>
      </c>
      <c r="C3" s="22">
        <v>1</v>
      </c>
      <c r="D3" s="22">
        <v>2</v>
      </c>
      <c r="E3" s="22">
        <v>3</v>
      </c>
      <c r="F3" s="22">
        <v>4</v>
      </c>
      <c r="G3" s="22">
        <v>5</v>
      </c>
      <c r="H3" s="22">
        <v>6</v>
      </c>
      <c r="I3" s="22">
        <v>7</v>
      </c>
      <c r="J3" s="22">
        <v>8</v>
      </c>
      <c r="K3" s="22">
        <v>9</v>
      </c>
      <c r="L3" s="22">
        <v>10</v>
      </c>
      <c r="M3" s="22">
        <v>11</v>
      </c>
      <c r="N3" s="22">
        <v>12</v>
      </c>
      <c r="O3" s="22">
        <v>1</v>
      </c>
      <c r="P3" s="22">
        <v>2</v>
      </c>
      <c r="Q3" s="22">
        <v>3</v>
      </c>
      <c r="R3" s="22">
        <v>4</v>
      </c>
      <c r="S3" s="22">
        <v>5</v>
      </c>
      <c r="T3" s="22">
        <v>6</v>
      </c>
      <c r="U3" s="22">
        <v>7</v>
      </c>
      <c r="V3" s="22">
        <v>8</v>
      </c>
      <c r="W3" s="22">
        <v>9</v>
      </c>
      <c r="X3" s="22">
        <v>10</v>
      </c>
      <c r="Y3" s="22">
        <v>11</v>
      </c>
      <c r="Z3" s="22">
        <v>12</v>
      </c>
      <c r="AA3" s="22">
        <v>1</v>
      </c>
      <c r="AB3" s="22">
        <v>2</v>
      </c>
      <c r="AC3" s="22">
        <v>3</v>
      </c>
      <c r="AD3" s="22">
        <v>4</v>
      </c>
      <c r="AE3" s="22">
        <v>5</v>
      </c>
      <c r="AF3" s="22">
        <v>6</v>
      </c>
      <c r="AG3" s="22">
        <v>7</v>
      </c>
      <c r="AH3" s="22">
        <v>8</v>
      </c>
      <c r="AI3" s="22">
        <v>9</v>
      </c>
      <c r="AJ3" s="22">
        <v>10</v>
      </c>
      <c r="AK3" s="22">
        <v>11</v>
      </c>
      <c r="AL3" s="22">
        <v>12</v>
      </c>
      <c r="AM3" s="22">
        <v>1</v>
      </c>
      <c r="AN3" s="22">
        <v>2</v>
      </c>
      <c r="AO3" s="22">
        <v>3</v>
      </c>
      <c r="AP3" s="22">
        <v>4</v>
      </c>
      <c r="AQ3" s="22">
        <v>5</v>
      </c>
      <c r="AR3" s="22">
        <v>6</v>
      </c>
      <c r="AS3" s="22">
        <v>7</v>
      </c>
      <c r="AT3" s="22">
        <v>8</v>
      </c>
      <c r="AU3" s="22">
        <v>9</v>
      </c>
      <c r="AV3" s="22">
        <v>10</v>
      </c>
      <c r="AW3" s="22">
        <v>11</v>
      </c>
      <c r="AX3" s="22">
        <v>12</v>
      </c>
      <c r="AY3" s="22">
        <v>1</v>
      </c>
      <c r="AZ3" s="22">
        <v>2</v>
      </c>
      <c r="BA3" s="22">
        <v>3</v>
      </c>
      <c r="BB3" s="22">
        <v>4</v>
      </c>
      <c r="BC3" s="22">
        <v>5</v>
      </c>
      <c r="BD3" s="22">
        <v>6</v>
      </c>
      <c r="BE3" s="22">
        <v>7</v>
      </c>
      <c r="BF3" s="22">
        <v>8</v>
      </c>
      <c r="BG3" s="22">
        <v>9</v>
      </c>
      <c r="BH3" s="22">
        <v>10</v>
      </c>
      <c r="BI3" s="22">
        <v>11</v>
      </c>
      <c r="BJ3" s="22">
        <v>12</v>
      </c>
      <c r="BK3" s="22">
        <v>1</v>
      </c>
      <c r="BL3" s="22">
        <v>2</v>
      </c>
      <c r="BM3" s="22">
        <v>3</v>
      </c>
      <c r="BN3" s="22">
        <v>4</v>
      </c>
      <c r="BO3" s="22">
        <v>5</v>
      </c>
      <c r="BP3" s="22">
        <v>6</v>
      </c>
      <c r="BQ3" s="22">
        <v>7</v>
      </c>
      <c r="BR3" s="22">
        <v>8</v>
      </c>
      <c r="BS3" s="22">
        <v>9</v>
      </c>
      <c r="BT3" s="22">
        <v>10</v>
      </c>
      <c r="BU3" s="22">
        <v>11</v>
      </c>
      <c r="BV3" s="22">
        <v>12</v>
      </c>
      <c r="BW3" s="22">
        <v>1</v>
      </c>
      <c r="BX3" s="22">
        <v>2</v>
      </c>
      <c r="BY3" s="22">
        <v>3</v>
      </c>
      <c r="BZ3" s="22">
        <v>4</v>
      </c>
      <c r="CA3" s="22">
        <v>5</v>
      </c>
      <c r="CB3" s="22">
        <v>6</v>
      </c>
      <c r="CC3" s="22">
        <v>7</v>
      </c>
      <c r="CD3" s="22">
        <v>8</v>
      </c>
      <c r="CE3" s="22">
        <v>9</v>
      </c>
      <c r="CF3" s="22">
        <v>10</v>
      </c>
      <c r="CG3" s="22">
        <v>11</v>
      </c>
      <c r="CH3" s="22">
        <v>12</v>
      </c>
    </row>
    <row r="4" spans="2:86" outlineLevel="1" x14ac:dyDescent="0.35">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row>
    <row r="5" spans="2:86" outlineLevel="1" x14ac:dyDescent="0.35">
      <c r="B5" s="22" t="s">
        <v>53</v>
      </c>
      <c r="C5" s="22">
        <v>2020</v>
      </c>
      <c r="D5" s="22">
        <f t="shared" ref="D5:AL5" si="24">IF(C6&lt;D6,C5,C5+1)</f>
        <v>2020</v>
      </c>
      <c r="E5" s="22">
        <f t="shared" si="24"/>
        <v>2020</v>
      </c>
      <c r="F5" s="22">
        <f t="shared" si="24"/>
        <v>2020</v>
      </c>
      <c r="G5" s="22">
        <f t="shared" si="24"/>
        <v>2020</v>
      </c>
      <c r="H5" s="22">
        <f t="shared" si="24"/>
        <v>2020</v>
      </c>
      <c r="I5" s="22">
        <f t="shared" si="24"/>
        <v>2020</v>
      </c>
      <c r="J5" s="22">
        <f t="shared" si="24"/>
        <v>2020</v>
      </c>
      <c r="K5" s="22">
        <f t="shared" si="24"/>
        <v>2020</v>
      </c>
      <c r="L5" s="22">
        <f t="shared" si="24"/>
        <v>2020</v>
      </c>
      <c r="M5" s="22">
        <f t="shared" si="24"/>
        <v>2020</v>
      </c>
      <c r="N5" s="22">
        <f t="shared" si="24"/>
        <v>2020</v>
      </c>
      <c r="O5" s="22">
        <f t="shared" si="24"/>
        <v>2021</v>
      </c>
      <c r="P5" s="22">
        <f t="shared" si="24"/>
        <v>2021</v>
      </c>
      <c r="Q5" s="22">
        <f t="shared" si="24"/>
        <v>2021</v>
      </c>
      <c r="R5" s="22">
        <f t="shared" si="24"/>
        <v>2021</v>
      </c>
      <c r="S5" s="22">
        <f t="shared" si="24"/>
        <v>2021</v>
      </c>
      <c r="T5" s="22">
        <f t="shared" si="24"/>
        <v>2021</v>
      </c>
      <c r="U5" s="22">
        <f t="shared" si="24"/>
        <v>2021</v>
      </c>
      <c r="V5" s="22">
        <f t="shared" si="24"/>
        <v>2021</v>
      </c>
      <c r="W5" s="22">
        <f t="shared" si="24"/>
        <v>2021</v>
      </c>
      <c r="X5" s="22">
        <f t="shared" si="24"/>
        <v>2021</v>
      </c>
      <c r="Y5" s="22">
        <f t="shared" si="24"/>
        <v>2021</v>
      </c>
      <c r="Z5" s="22">
        <f t="shared" si="24"/>
        <v>2021</v>
      </c>
      <c r="AA5" s="22">
        <f t="shared" si="24"/>
        <v>2022</v>
      </c>
      <c r="AB5" s="22">
        <f t="shared" si="24"/>
        <v>2022</v>
      </c>
      <c r="AC5" s="22">
        <f t="shared" si="24"/>
        <v>2022</v>
      </c>
      <c r="AD5" s="22">
        <f t="shared" si="24"/>
        <v>2022</v>
      </c>
      <c r="AE5" s="22">
        <f t="shared" si="24"/>
        <v>2022</v>
      </c>
      <c r="AF5" s="22">
        <f t="shared" si="24"/>
        <v>2022</v>
      </c>
      <c r="AG5" s="22">
        <f t="shared" si="24"/>
        <v>2022</v>
      </c>
      <c r="AH5" s="22">
        <f t="shared" si="24"/>
        <v>2022</v>
      </c>
      <c r="AI5" s="22">
        <f t="shared" si="24"/>
        <v>2022</v>
      </c>
      <c r="AJ5" s="22">
        <f t="shared" si="24"/>
        <v>2022</v>
      </c>
      <c r="AK5" s="22">
        <f t="shared" si="24"/>
        <v>2022</v>
      </c>
      <c r="AL5" s="22">
        <f t="shared" si="24"/>
        <v>2022</v>
      </c>
      <c r="AM5" s="22">
        <f t="shared" ref="AM5" si="25">IF(AL6&lt;AM6,AL5,AL5+1)</f>
        <v>2023</v>
      </c>
      <c r="AN5" s="22">
        <f t="shared" ref="AN5" si="26">IF(AM6&lt;AN6,AM5,AM5+1)</f>
        <v>2023</v>
      </c>
      <c r="AO5" s="22">
        <f t="shared" ref="AO5" si="27">IF(AN6&lt;AO6,AN5,AN5+1)</f>
        <v>2023</v>
      </c>
      <c r="AP5" s="22">
        <f t="shared" ref="AP5" si="28">IF(AO6&lt;AP6,AO5,AO5+1)</f>
        <v>2023</v>
      </c>
      <c r="AQ5" s="22">
        <f t="shared" ref="AQ5" si="29">IF(AP6&lt;AQ6,AP5,AP5+1)</f>
        <v>2023</v>
      </c>
      <c r="AR5" s="22">
        <f t="shared" ref="AR5" si="30">IF(AQ6&lt;AR6,AQ5,AQ5+1)</f>
        <v>2023</v>
      </c>
      <c r="AS5" s="22">
        <f t="shared" ref="AS5" si="31">IF(AR6&lt;AS6,AR5,AR5+1)</f>
        <v>2023</v>
      </c>
      <c r="AT5" s="22">
        <f t="shared" ref="AT5" si="32">IF(AS6&lt;AT6,AS5,AS5+1)</f>
        <v>2023</v>
      </c>
      <c r="AU5" s="22">
        <f t="shared" ref="AU5" si="33">IF(AT6&lt;AU6,AT5,AT5+1)</f>
        <v>2023</v>
      </c>
      <c r="AV5" s="22">
        <f t="shared" ref="AV5" si="34">IF(AU6&lt;AV6,AU5,AU5+1)</f>
        <v>2023</v>
      </c>
      <c r="AW5" s="22">
        <f t="shared" ref="AW5" si="35">IF(AV6&lt;AW6,AV5,AV5+1)</f>
        <v>2023</v>
      </c>
      <c r="AX5" s="22">
        <f t="shared" ref="AX5" si="36">IF(AW6&lt;AX6,AW5,AW5+1)</f>
        <v>2023</v>
      </c>
      <c r="AY5" s="22">
        <f t="shared" ref="AY5:BJ5" si="37">IF(AX6&lt;AY6,AX5,AX5+1)</f>
        <v>2024</v>
      </c>
      <c r="AZ5" s="22">
        <f t="shared" si="37"/>
        <v>2024</v>
      </c>
      <c r="BA5" s="22">
        <f t="shared" si="37"/>
        <v>2024</v>
      </c>
      <c r="BB5" s="22">
        <f t="shared" si="37"/>
        <v>2024</v>
      </c>
      <c r="BC5" s="22">
        <f t="shared" si="37"/>
        <v>2024</v>
      </c>
      <c r="BD5" s="22">
        <f t="shared" si="37"/>
        <v>2024</v>
      </c>
      <c r="BE5" s="22">
        <f t="shared" si="37"/>
        <v>2024</v>
      </c>
      <c r="BF5" s="22">
        <f t="shared" si="37"/>
        <v>2024</v>
      </c>
      <c r="BG5" s="22">
        <f t="shared" si="37"/>
        <v>2024</v>
      </c>
      <c r="BH5" s="22">
        <f t="shared" si="37"/>
        <v>2024</v>
      </c>
      <c r="BI5" s="22">
        <f t="shared" si="37"/>
        <v>2024</v>
      </c>
      <c r="BJ5" s="22">
        <f t="shared" si="37"/>
        <v>2024</v>
      </c>
      <c r="BK5" s="22">
        <f t="shared" ref="BK5" si="38">IF(BJ6&lt;BK6,BJ5,BJ5+1)</f>
        <v>2025</v>
      </c>
      <c r="BL5" s="22">
        <f t="shared" ref="BL5" si="39">IF(BK6&lt;BL6,BK5,BK5+1)</f>
        <v>2025</v>
      </c>
      <c r="BM5" s="22">
        <f t="shared" ref="BM5" si="40">IF(BL6&lt;BM6,BL5,BL5+1)</f>
        <v>2025</v>
      </c>
      <c r="BN5" s="22">
        <f t="shared" ref="BN5" si="41">IF(BM6&lt;BN6,BM5,BM5+1)</f>
        <v>2025</v>
      </c>
      <c r="BO5" s="22">
        <f t="shared" ref="BO5" si="42">IF(BN6&lt;BO6,BN5,BN5+1)</f>
        <v>2025</v>
      </c>
      <c r="BP5" s="22">
        <f t="shared" ref="BP5" si="43">IF(BO6&lt;BP6,BO5,BO5+1)</f>
        <v>2025</v>
      </c>
      <c r="BQ5" s="22">
        <f t="shared" ref="BQ5" si="44">IF(BP6&lt;BQ6,BP5,BP5+1)</f>
        <v>2025</v>
      </c>
      <c r="BR5" s="22">
        <f t="shared" ref="BR5" si="45">IF(BQ6&lt;BR6,BQ5,BQ5+1)</f>
        <v>2025</v>
      </c>
      <c r="BS5" s="22">
        <f t="shared" ref="BS5" si="46">IF(BR6&lt;BS6,BR5,BR5+1)</f>
        <v>2025</v>
      </c>
      <c r="BT5" s="22">
        <f t="shared" ref="BT5" si="47">IF(BS6&lt;BT6,BS5,BS5+1)</f>
        <v>2025</v>
      </c>
      <c r="BU5" s="22">
        <f>IF(BT6&lt;BU6,BT5,BT5+1)</f>
        <v>2025</v>
      </c>
      <c r="BV5" s="22">
        <f t="shared" ref="BV5" si="48">IF(BU6&lt;BV6,BU5,BU5+1)</f>
        <v>2025</v>
      </c>
      <c r="BW5" s="22">
        <f>IF(BV6&lt;BW6,BV5,BV5+1)</f>
        <v>2026</v>
      </c>
      <c r="BX5" s="22">
        <f t="shared" ref="BX5" si="49">IF(BW6&lt;BX6,BW5,BW5+1)</f>
        <v>2026</v>
      </c>
      <c r="BY5" s="22">
        <f t="shared" ref="BY5" si="50">IF(BX6&lt;BY6,BX5,BX5+1)</f>
        <v>2026</v>
      </c>
      <c r="BZ5" s="22">
        <f t="shared" ref="BZ5" si="51">IF(BY6&lt;BZ6,BY5,BY5+1)</f>
        <v>2026</v>
      </c>
      <c r="CA5" s="22">
        <f t="shared" ref="CA5" si="52">IF(BZ6&lt;CA6,BZ5,BZ5+1)</f>
        <v>2026</v>
      </c>
      <c r="CB5" s="22">
        <f t="shared" ref="CB5" si="53">IF(CA6&lt;CB6,CA5,CA5+1)</f>
        <v>2026</v>
      </c>
      <c r="CC5" s="22">
        <f t="shared" ref="CC5" si="54">IF(CB6&lt;CC6,CB5,CB5+1)</f>
        <v>2026</v>
      </c>
      <c r="CD5" s="22">
        <f t="shared" ref="CD5" si="55">IF(CC6&lt;CD6,CC5,CC5+1)</f>
        <v>2026</v>
      </c>
      <c r="CE5" s="22">
        <f t="shared" ref="CE5" si="56">IF(CD6&lt;CE6,CD5,CD5+1)</f>
        <v>2026</v>
      </c>
      <c r="CF5" s="22">
        <f t="shared" ref="CF5" si="57">IF(CE6&lt;CF6,CE5,CE5+1)</f>
        <v>2026</v>
      </c>
      <c r="CG5" s="22">
        <f t="shared" ref="CG5" si="58">IF(CF6&lt;CG6,CF5,CF5+1)</f>
        <v>2026</v>
      </c>
      <c r="CH5" s="22">
        <f t="shared" ref="CH5" si="59">IF(CG6&lt;CH6,CG5,CG5+1)</f>
        <v>2026</v>
      </c>
    </row>
    <row r="6" spans="2:86" outlineLevel="1" x14ac:dyDescent="0.35">
      <c r="B6" s="22" t="s">
        <v>54</v>
      </c>
      <c r="C6" s="22">
        <f>INDEX(EMG!$D$53:$D$64,MATCH(C$3,EMG!$E$53:$E$64,0),1)</f>
        <v>1</v>
      </c>
      <c r="D6" s="22">
        <f>INDEX(EMG!$D$53:$D$64,MATCH(D$3,EMG!$E$53:$E$64,0),1)</f>
        <v>2</v>
      </c>
      <c r="E6" s="22">
        <f>INDEX(EMG!$D$53:$D$64,MATCH(E$3,EMG!$E$53:$E$64,0),1)</f>
        <v>3</v>
      </c>
      <c r="F6" s="22">
        <f>INDEX(EMG!$D$53:$D$64,MATCH(F$3,EMG!$E$53:$E$64,0),1)</f>
        <v>4</v>
      </c>
      <c r="G6" s="22">
        <f>INDEX(EMG!$D$53:$D$64,MATCH(G$3,EMG!$E$53:$E$64,0),1)</f>
        <v>5</v>
      </c>
      <c r="H6" s="22">
        <f>INDEX(EMG!$D$53:$D$64,MATCH(H$3,EMG!$E$53:$E$64,0),1)</f>
        <v>6</v>
      </c>
      <c r="I6" s="22">
        <f>INDEX(EMG!$D$53:$D$64,MATCH(I$3,EMG!$E$53:$E$64,0),1)</f>
        <v>7</v>
      </c>
      <c r="J6" s="22">
        <f>INDEX(EMG!$D$53:$D$64,MATCH(J$3,EMG!$E$53:$E$64,0),1)</f>
        <v>8</v>
      </c>
      <c r="K6" s="22">
        <f>INDEX(EMG!$D$53:$D$64,MATCH(K$3,EMG!$E$53:$E$64,0),1)</f>
        <v>9</v>
      </c>
      <c r="L6" s="22">
        <f>INDEX(EMG!$D$53:$D$64,MATCH(L$3,EMG!$E$53:$E$64,0),1)</f>
        <v>10</v>
      </c>
      <c r="M6" s="22">
        <f>INDEX(EMG!$D$53:$D$64,MATCH(M$3,EMG!$E$53:$E$64,0),1)</f>
        <v>11</v>
      </c>
      <c r="N6" s="22">
        <f>INDEX(EMG!$D$53:$D$64,MATCH(N$3,EMG!$E$53:$E$64,0),1)</f>
        <v>12</v>
      </c>
      <c r="O6" s="22">
        <f>INDEX(EMG!$D$53:$D$64,MATCH(O$3,EMG!$E$53:$E$64,0),1)</f>
        <v>1</v>
      </c>
      <c r="P6" s="22">
        <f>INDEX(EMG!$D$53:$D$64,MATCH(P$3,EMG!$E$53:$E$64,0),1)</f>
        <v>2</v>
      </c>
      <c r="Q6" s="22">
        <f>INDEX(EMG!$D$53:$D$64,MATCH(Q$3,EMG!$E$53:$E$64,0),1)</f>
        <v>3</v>
      </c>
      <c r="R6" s="22">
        <f>INDEX(EMG!$D$53:$D$64,MATCH(R$3,EMG!$E$53:$E$64,0),1)</f>
        <v>4</v>
      </c>
      <c r="S6" s="22">
        <f>INDEX(EMG!$D$53:$D$64,MATCH(S$3,EMG!$E$53:$E$64,0),1)</f>
        <v>5</v>
      </c>
      <c r="T6" s="22">
        <f>INDEX(EMG!$D$53:$D$64,MATCH(T$3,EMG!$E$53:$E$64,0),1)</f>
        <v>6</v>
      </c>
      <c r="U6" s="22">
        <f>INDEX(EMG!$D$53:$D$64,MATCH(U$3,EMG!$E$53:$E$64,0),1)</f>
        <v>7</v>
      </c>
      <c r="V6" s="22">
        <f>INDEX(EMG!$D$53:$D$64,MATCH(V$3,EMG!$E$53:$E$64,0),1)</f>
        <v>8</v>
      </c>
      <c r="W6" s="22">
        <f>INDEX(EMG!$D$53:$D$64,MATCH(W$3,EMG!$E$53:$E$64,0),1)</f>
        <v>9</v>
      </c>
      <c r="X6" s="22">
        <f>INDEX(EMG!$D$53:$D$64,MATCH(X$3,EMG!$E$53:$E$64,0),1)</f>
        <v>10</v>
      </c>
      <c r="Y6" s="22">
        <f>INDEX(EMG!$D$53:$D$64,MATCH(Y$3,EMG!$E$53:$E$64,0),1)</f>
        <v>11</v>
      </c>
      <c r="Z6" s="22">
        <f>INDEX(EMG!$D$53:$D$64,MATCH(Z$3,EMG!$E$53:$E$64,0),1)</f>
        <v>12</v>
      </c>
      <c r="AA6" s="22">
        <f>INDEX(EMG!$D$53:$D$64,MATCH(AA$3,EMG!$E$53:$E$64,0),1)</f>
        <v>1</v>
      </c>
      <c r="AB6" s="22">
        <f>INDEX(EMG!$D$53:$D$64,MATCH(AB$3,EMG!$E$53:$E$64,0),1)</f>
        <v>2</v>
      </c>
      <c r="AC6" s="22">
        <f>INDEX(EMG!$D$53:$D$64,MATCH(AC$3,EMG!$E$53:$E$64,0),1)</f>
        <v>3</v>
      </c>
      <c r="AD6" s="22">
        <f>INDEX(EMG!$D$53:$D$64,MATCH(AD$3,EMG!$E$53:$E$64,0),1)</f>
        <v>4</v>
      </c>
      <c r="AE6" s="22">
        <f>INDEX(EMG!$D$53:$D$64,MATCH(AE$3,EMG!$E$53:$E$64,0),1)</f>
        <v>5</v>
      </c>
      <c r="AF6" s="22">
        <f>INDEX(EMG!$D$53:$D$64,MATCH(AF$3,EMG!$E$53:$E$64,0),1)</f>
        <v>6</v>
      </c>
      <c r="AG6" s="22">
        <f>INDEX(EMG!$D$53:$D$64,MATCH(AG$3,EMG!$E$53:$E$64,0),1)</f>
        <v>7</v>
      </c>
      <c r="AH6" s="22">
        <f>INDEX(EMG!$D$53:$D$64,MATCH(AH$3,EMG!$E$53:$E$64,0),1)</f>
        <v>8</v>
      </c>
      <c r="AI6" s="22">
        <f>INDEX(EMG!$D$53:$D$64,MATCH(AI$3,EMG!$E$53:$E$64,0),1)</f>
        <v>9</v>
      </c>
      <c r="AJ6" s="22">
        <f>INDEX(EMG!$D$53:$D$64,MATCH(AJ$3,EMG!$E$53:$E$64,0),1)</f>
        <v>10</v>
      </c>
      <c r="AK6" s="22">
        <f>INDEX(EMG!$D$53:$D$64,MATCH(AK$3,EMG!$E$53:$E$64,0),1)</f>
        <v>11</v>
      </c>
      <c r="AL6" s="22">
        <f>INDEX(EMG!$D$53:$D$64,MATCH(AL$3,EMG!$E$53:$E$64,0),1)</f>
        <v>12</v>
      </c>
      <c r="AM6" s="22">
        <f>INDEX(EMG!$D$53:$D$64,MATCH(AM$3,EMG!$E$53:$E$64,0),1)</f>
        <v>1</v>
      </c>
      <c r="AN6" s="22">
        <f>INDEX(EMG!$D$53:$D$64,MATCH(AN$3,EMG!$E$53:$E$64,0),1)</f>
        <v>2</v>
      </c>
      <c r="AO6" s="22">
        <f>INDEX(EMG!$D$53:$D$64,MATCH(AO$3,EMG!$E$53:$E$64,0),1)</f>
        <v>3</v>
      </c>
      <c r="AP6" s="22">
        <f>INDEX(EMG!$D$53:$D$64,MATCH(AP$3,EMG!$E$53:$E$64,0),1)</f>
        <v>4</v>
      </c>
      <c r="AQ6" s="22">
        <f>INDEX(EMG!$D$53:$D$64,MATCH(AQ$3,EMG!$E$53:$E$64,0),1)</f>
        <v>5</v>
      </c>
      <c r="AR6" s="22">
        <f>INDEX(EMG!$D$53:$D$64,MATCH(AR$3,EMG!$E$53:$E$64,0),1)</f>
        <v>6</v>
      </c>
      <c r="AS6" s="22">
        <f>INDEX(EMG!$D$53:$D$64,MATCH(AS$3,EMG!$E$53:$E$64,0),1)</f>
        <v>7</v>
      </c>
      <c r="AT6" s="22">
        <f>INDEX(EMG!$D$53:$D$64,MATCH(AT$3,EMG!$E$53:$E$64,0),1)</f>
        <v>8</v>
      </c>
      <c r="AU6" s="22">
        <f>INDEX(EMG!$D$53:$D$64,MATCH(AU$3,EMG!$E$53:$E$64,0),1)</f>
        <v>9</v>
      </c>
      <c r="AV6" s="22">
        <f>INDEX(EMG!$D$53:$D$64,MATCH(AV$3,EMG!$E$53:$E$64,0),1)</f>
        <v>10</v>
      </c>
      <c r="AW6" s="22">
        <f>INDEX(EMG!$D$53:$D$64,MATCH(AW$3,EMG!$E$53:$E$64,0),1)</f>
        <v>11</v>
      </c>
      <c r="AX6" s="22">
        <f>INDEX(EMG!$D$53:$D$64,MATCH(AX$3,EMG!$E$53:$E$64,0),1)</f>
        <v>12</v>
      </c>
      <c r="AY6" s="22">
        <f>INDEX(EMG!$D$53:$D$64,MATCH(AY$3,EMG!$E$53:$E$64,0),1)</f>
        <v>1</v>
      </c>
      <c r="AZ6" s="22">
        <f>INDEX(EMG!$D$53:$D$64,MATCH(AZ$3,EMG!$E$53:$E$64,0),1)</f>
        <v>2</v>
      </c>
      <c r="BA6" s="22">
        <f>INDEX(EMG!$D$53:$D$64,MATCH(BA$3,EMG!$E$53:$E$64,0),1)</f>
        <v>3</v>
      </c>
      <c r="BB6" s="22">
        <f>INDEX(EMG!$D$53:$D$64,MATCH(BB$3,EMG!$E$53:$E$64,0),1)</f>
        <v>4</v>
      </c>
      <c r="BC6" s="22">
        <f>INDEX(EMG!$D$53:$D$64,MATCH(BC$3,EMG!$E$53:$E$64,0),1)</f>
        <v>5</v>
      </c>
      <c r="BD6" s="22">
        <f>INDEX(EMG!$D$53:$D$64,MATCH(BD$3,EMG!$E$53:$E$64,0),1)</f>
        <v>6</v>
      </c>
      <c r="BE6" s="22">
        <f>INDEX(EMG!$D$53:$D$64,MATCH(BE$3,EMG!$E$53:$E$64,0),1)</f>
        <v>7</v>
      </c>
      <c r="BF6" s="22">
        <f>INDEX(EMG!$D$53:$D$64,MATCH(BF$3,EMG!$E$53:$E$64,0),1)</f>
        <v>8</v>
      </c>
      <c r="BG6" s="22">
        <f>INDEX(EMG!$D$53:$D$64,MATCH(BG$3,EMG!$E$53:$E$64,0),1)</f>
        <v>9</v>
      </c>
      <c r="BH6" s="22">
        <f>INDEX(EMG!$D$53:$D$64,MATCH(BH$3,EMG!$E$53:$E$64,0),1)</f>
        <v>10</v>
      </c>
      <c r="BI6" s="22">
        <f>INDEX(EMG!$D$53:$D$64,MATCH(BI$3,EMG!$E$53:$E$64,0),1)</f>
        <v>11</v>
      </c>
      <c r="BJ6" s="22">
        <f>INDEX(EMG!$D$53:$D$64,MATCH(BJ$3,EMG!$E$53:$E$64,0),1)</f>
        <v>12</v>
      </c>
      <c r="BK6" s="22">
        <f>INDEX(EMG!$D$53:$D$64,MATCH(BK$3,EMG!$E$53:$E$64,0),1)</f>
        <v>1</v>
      </c>
      <c r="BL6" s="22">
        <f>INDEX(EMG!$D$53:$D$64,MATCH(BL$3,EMG!$E$53:$E$64,0),1)</f>
        <v>2</v>
      </c>
      <c r="BM6" s="22">
        <f>INDEX(EMG!$D$53:$D$64,MATCH(BM$3,EMG!$E$53:$E$64,0),1)</f>
        <v>3</v>
      </c>
      <c r="BN6" s="22">
        <f>INDEX(EMG!$D$53:$D$64,MATCH(BN$3,EMG!$E$53:$E$64,0),1)</f>
        <v>4</v>
      </c>
      <c r="BO6" s="22">
        <f>INDEX(EMG!$D$53:$D$64,MATCH(BO$3,EMG!$E$53:$E$64,0),1)</f>
        <v>5</v>
      </c>
      <c r="BP6" s="22">
        <f>INDEX(EMG!$D$53:$D$64,MATCH(BP$3,EMG!$E$53:$E$64,0),1)</f>
        <v>6</v>
      </c>
      <c r="BQ6" s="22">
        <f>INDEX(EMG!$D$53:$D$64,MATCH(BQ$3,EMG!$E$53:$E$64,0),1)</f>
        <v>7</v>
      </c>
      <c r="BR6" s="22">
        <f>INDEX(EMG!$D$53:$D$64,MATCH(BR$3,EMG!$E$53:$E$64,0),1)</f>
        <v>8</v>
      </c>
      <c r="BS6" s="22">
        <f>INDEX(EMG!$D$53:$D$64,MATCH(BS$3,EMG!$E$53:$E$64,0),1)</f>
        <v>9</v>
      </c>
      <c r="BT6" s="22">
        <f>INDEX(EMG!$D$53:$D$64,MATCH(BT$3,EMG!$E$53:$E$64,0),1)</f>
        <v>10</v>
      </c>
      <c r="BU6" s="22">
        <f>INDEX(EMG!$D$53:$D$64,MATCH(BU$3,EMG!$E$53:$E$64,0),1)</f>
        <v>11</v>
      </c>
      <c r="BV6" s="22">
        <f>INDEX(EMG!$D$53:$D$64,MATCH(BV$3,EMG!$E$53:$E$64,0),1)</f>
        <v>12</v>
      </c>
      <c r="BW6" s="22">
        <f>INDEX(EMG!$D$53:$D$64,MATCH(BW$3,EMG!$E$53:$E$64,0),1)</f>
        <v>1</v>
      </c>
      <c r="BX6" s="22">
        <f>INDEX(EMG!$D$53:$D$64,MATCH(BX$3,EMG!$E$53:$E$64,0),1)</f>
        <v>2</v>
      </c>
      <c r="BY6" s="22">
        <f>INDEX(EMG!$D$53:$D$64,MATCH(BY$3,EMG!$E$53:$E$64,0),1)</f>
        <v>3</v>
      </c>
      <c r="BZ6" s="22">
        <f>INDEX(EMG!$D$53:$D$64,MATCH(BZ$3,EMG!$E$53:$E$64,0),1)</f>
        <v>4</v>
      </c>
      <c r="CA6" s="22">
        <f>INDEX(EMG!$D$53:$D$64,MATCH(CA$3,EMG!$E$53:$E$64,0),1)</f>
        <v>5</v>
      </c>
      <c r="CB6" s="22">
        <f>INDEX(EMG!$D$53:$D$64,MATCH(CB$3,EMG!$E$53:$E$64,0),1)</f>
        <v>6</v>
      </c>
      <c r="CC6" s="22">
        <f>INDEX(EMG!$D$53:$D$64,MATCH(CC$3,EMG!$E$53:$E$64,0),1)</f>
        <v>7</v>
      </c>
      <c r="CD6" s="22">
        <f>INDEX(EMG!$D$53:$D$64,MATCH(CD$3,EMG!$E$53:$E$64,0),1)</f>
        <v>8</v>
      </c>
      <c r="CE6" s="22">
        <f>INDEX(EMG!$D$53:$D$64,MATCH(CE$3,EMG!$E$53:$E$64,0),1)</f>
        <v>9</v>
      </c>
      <c r="CF6" s="22">
        <f>INDEX(EMG!$D$53:$D$64,MATCH(CF$3,EMG!$E$53:$E$64,0),1)</f>
        <v>10</v>
      </c>
      <c r="CG6" s="22">
        <f>INDEX(EMG!$D$53:$D$64,MATCH(CG$3,EMG!$E$53:$E$64,0),1)</f>
        <v>11</v>
      </c>
      <c r="CH6" s="22">
        <f>INDEX(EMG!$D$53:$D$64,MATCH(CH$3,EMG!$E$53:$E$64,0),1)</f>
        <v>12</v>
      </c>
    </row>
    <row r="7" spans="2:86" outlineLevel="1" x14ac:dyDescent="0.35">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row>
    <row r="8" spans="2:86" outlineLevel="1" x14ac:dyDescent="0.35">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row>
    <row r="9" spans="2:86" ht="13.15" x14ac:dyDescent="0.4">
      <c r="B9" s="24" t="s">
        <v>83</v>
      </c>
    </row>
    <row r="10" spans="2:86" ht="13.15" x14ac:dyDescent="0.4">
      <c r="C10" s="198">
        <f>IF(C6=1,C5-2000,C5-2000+1)</f>
        <v>20</v>
      </c>
      <c r="D10" s="198"/>
      <c r="E10" s="198"/>
      <c r="F10" s="198"/>
      <c r="G10" s="198"/>
      <c r="H10" s="198"/>
      <c r="I10" s="198"/>
      <c r="J10" s="198"/>
      <c r="K10" s="198"/>
      <c r="L10" s="198"/>
      <c r="M10" s="198"/>
      <c r="N10" s="198"/>
      <c r="O10" s="199">
        <f>IF(O6=1,O5-2000,O5-2000+1)</f>
        <v>21</v>
      </c>
      <c r="P10" s="199"/>
      <c r="Q10" s="199"/>
      <c r="R10" s="199"/>
      <c r="S10" s="199"/>
      <c r="T10" s="199"/>
      <c r="U10" s="199"/>
      <c r="V10" s="199"/>
      <c r="W10" s="199"/>
      <c r="X10" s="199"/>
      <c r="Y10" s="199"/>
      <c r="Z10" s="199"/>
      <c r="AA10" s="198">
        <f>IF(AA6=1,AA5-2000,AA5-2000+1)</f>
        <v>22</v>
      </c>
      <c r="AB10" s="198"/>
      <c r="AC10" s="198"/>
      <c r="AD10" s="198"/>
      <c r="AE10" s="198"/>
      <c r="AF10" s="198"/>
      <c r="AG10" s="198"/>
      <c r="AH10" s="198"/>
      <c r="AI10" s="198"/>
      <c r="AJ10" s="198"/>
      <c r="AK10" s="198"/>
      <c r="AL10" s="198"/>
      <c r="AM10" s="199">
        <f>IF(AM6=1,AM5-2000,AM5-2000+1)</f>
        <v>23</v>
      </c>
      <c r="AN10" s="199"/>
      <c r="AO10" s="199"/>
      <c r="AP10" s="199"/>
      <c r="AQ10" s="199"/>
      <c r="AR10" s="199"/>
      <c r="AS10" s="199"/>
      <c r="AT10" s="199"/>
      <c r="AU10" s="199"/>
      <c r="AV10" s="199"/>
      <c r="AW10" s="199"/>
      <c r="AX10" s="199"/>
      <c r="AY10" s="203">
        <f>IF(AY6=1,AY5-2000,AY5-2000+1)</f>
        <v>24</v>
      </c>
      <c r="AZ10" s="203"/>
      <c r="BA10" s="203"/>
      <c r="BB10" s="203"/>
      <c r="BC10" s="203"/>
      <c r="BD10" s="203"/>
      <c r="BE10" s="203"/>
      <c r="BF10" s="203"/>
      <c r="BG10" s="203"/>
      <c r="BH10" s="203"/>
      <c r="BI10" s="203"/>
      <c r="BJ10" s="203"/>
      <c r="BK10" s="204">
        <f>IF(BK6=1,BK5-2000,BK5-2000+1)</f>
        <v>25</v>
      </c>
      <c r="BL10" s="204"/>
      <c r="BM10" s="204"/>
      <c r="BN10" s="204"/>
      <c r="BO10" s="204"/>
      <c r="BP10" s="204"/>
      <c r="BQ10" s="204"/>
      <c r="BR10" s="204"/>
      <c r="BS10" s="204"/>
      <c r="BT10" s="204"/>
      <c r="BU10" s="204"/>
      <c r="BV10" s="204"/>
      <c r="BW10" s="203">
        <f>IF(BW6=1,BW5-2000,BW5-2000+1)</f>
        <v>26</v>
      </c>
      <c r="BX10" s="203"/>
      <c r="BY10" s="203"/>
      <c r="BZ10" s="203"/>
      <c r="CA10" s="203"/>
      <c r="CB10" s="203"/>
      <c r="CC10" s="203"/>
      <c r="CD10" s="203"/>
      <c r="CE10" s="203"/>
      <c r="CF10" s="203"/>
      <c r="CG10" s="203"/>
      <c r="CH10" s="203"/>
    </row>
    <row r="11" spans="2:86" ht="13.15" x14ac:dyDescent="0.4">
      <c r="B11" s="25" t="s">
        <v>56</v>
      </c>
      <c r="C11" s="26">
        <f t="shared" ref="C11:AX11" si="60">DATE(C5,C6,1)</f>
        <v>43831</v>
      </c>
      <c r="D11" s="26">
        <f t="shared" si="60"/>
        <v>43862</v>
      </c>
      <c r="E11" s="26">
        <f t="shared" si="60"/>
        <v>43891</v>
      </c>
      <c r="F11" s="26">
        <f t="shared" si="60"/>
        <v>43922</v>
      </c>
      <c r="G11" s="26">
        <f t="shared" si="60"/>
        <v>43952</v>
      </c>
      <c r="H11" s="26">
        <f t="shared" si="60"/>
        <v>43983</v>
      </c>
      <c r="I11" s="26">
        <f t="shared" si="60"/>
        <v>44013</v>
      </c>
      <c r="J11" s="26">
        <f t="shared" si="60"/>
        <v>44044</v>
      </c>
      <c r="K11" s="26">
        <f t="shared" si="60"/>
        <v>44075</v>
      </c>
      <c r="L11" s="26">
        <f t="shared" si="60"/>
        <v>44105</v>
      </c>
      <c r="M11" s="26">
        <f t="shared" si="60"/>
        <v>44136</v>
      </c>
      <c r="N11" s="26">
        <f t="shared" si="60"/>
        <v>44166</v>
      </c>
      <c r="O11" s="27">
        <f t="shared" si="60"/>
        <v>44197</v>
      </c>
      <c r="P11" s="27">
        <f t="shared" si="60"/>
        <v>44228</v>
      </c>
      <c r="Q11" s="27">
        <f t="shared" si="60"/>
        <v>44256</v>
      </c>
      <c r="R11" s="27">
        <f t="shared" si="60"/>
        <v>44287</v>
      </c>
      <c r="S11" s="27">
        <f t="shared" si="60"/>
        <v>44317</v>
      </c>
      <c r="T11" s="27">
        <f t="shared" si="60"/>
        <v>44348</v>
      </c>
      <c r="U11" s="27">
        <f t="shared" si="60"/>
        <v>44378</v>
      </c>
      <c r="V11" s="27">
        <f t="shared" si="60"/>
        <v>44409</v>
      </c>
      <c r="W11" s="27">
        <f t="shared" si="60"/>
        <v>44440</v>
      </c>
      <c r="X11" s="27">
        <f t="shared" si="60"/>
        <v>44470</v>
      </c>
      <c r="Y11" s="27">
        <f t="shared" si="60"/>
        <v>44501</v>
      </c>
      <c r="Z11" s="27">
        <f t="shared" si="60"/>
        <v>44531</v>
      </c>
      <c r="AA11" s="26">
        <f t="shared" si="60"/>
        <v>44562</v>
      </c>
      <c r="AB11" s="26">
        <f t="shared" si="60"/>
        <v>44593</v>
      </c>
      <c r="AC11" s="26">
        <f t="shared" si="60"/>
        <v>44621</v>
      </c>
      <c r="AD11" s="26">
        <f t="shared" si="60"/>
        <v>44652</v>
      </c>
      <c r="AE11" s="26">
        <f t="shared" si="60"/>
        <v>44682</v>
      </c>
      <c r="AF11" s="26">
        <f t="shared" si="60"/>
        <v>44713</v>
      </c>
      <c r="AG11" s="26">
        <f t="shared" si="60"/>
        <v>44743</v>
      </c>
      <c r="AH11" s="26">
        <f t="shared" si="60"/>
        <v>44774</v>
      </c>
      <c r="AI11" s="26">
        <f t="shared" si="60"/>
        <v>44805</v>
      </c>
      <c r="AJ11" s="26">
        <f t="shared" si="60"/>
        <v>44835</v>
      </c>
      <c r="AK11" s="26">
        <f t="shared" si="60"/>
        <v>44866</v>
      </c>
      <c r="AL11" s="26">
        <f t="shared" si="60"/>
        <v>44896</v>
      </c>
      <c r="AM11" s="27">
        <f t="shared" si="60"/>
        <v>44927</v>
      </c>
      <c r="AN11" s="27">
        <f t="shared" si="60"/>
        <v>44958</v>
      </c>
      <c r="AO11" s="27">
        <f t="shared" si="60"/>
        <v>44986</v>
      </c>
      <c r="AP11" s="27">
        <f t="shared" si="60"/>
        <v>45017</v>
      </c>
      <c r="AQ11" s="27">
        <f t="shared" si="60"/>
        <v>45047</v>
      </c>
      <c r="AR11" s="27">
        <f t="shared" si="60"/>
        <v>45078</v>
      </c>
      <c r="AS11" s="27">
        <f t="shared" si="60"/>
        <v>45108</v>
      </c>
      <c r="AT11" s="27">
        <f t="shared" si="60"/>
        <v>45139</v>
      </c>
      <c r="AU11" s="27">
        <f t="shared" si="60"/>
        <v>45170</v>
      </c>
      <c r="AV11" s="27">
        <f t="shared" si="60"/>
        <v>45200</v>
      </c>
      <c r="AW11" s="27">
        <f t="shared" si="60"/>
        <v>45231</v>
      </c>
      <c r="AX11" s="27">
        <f t="shared" si="60"/>
        <v>45261</v>
      </c>
      <c r="AY11" s="27">
        <f t="shared" ref="AY11:BJ11" si="61">DATE(AY5,AY6,1)</f>
        <v>45292</v>
      </c>
      <c r="AZ11" s="27">
        <f t="shared" si="61"/>
        <v>45323</v>
      </c>
      <c r="BA11" s="27">
        <f t="shared" si="61"/>
        <v>45352</v>
      </c>
      <c r="BB11" s="27">
        <f t="shared" si="61"/>
        <v>45383</v>
      </c>
      <c r="BC11" s="27">
        <f t="shared" si="61"/>
        <v>45413</v>
      </c>
      <c r="BD11" s="27">
        <f t="shared" si="61"/>
        <v>45444</v>
      </c>
      <c r="BE11" s="27">
        <f t="shared" si="61"/>
        <v>45474</v>
      </c>
      <c r="BF11" s="27">
        <f t="shared" si="61"/>
        <v>45505</v>
      </c>
      <c r="BG11" s="27">
        <f t="shared" si="61"/>
        <v>45536</v>
      </c>
      <c r="BH11" s="27">
        <f t="shared" si="61"/>
        <v>45566</v>
      </c>
      <c r="BI11" s="27">
        <f t="shared" si="61"/>
        <v>45597</v>
      </c>
      <c r="BJ11" s="27">
        <f t="shared" si="61"/>
        <v>45627</v>
      </c>
      <c r="BK11" s="27">
        <f t="shared" ref="BK11:CH11" si="62">DATE(BK5,BK6,1)</f>
        <v>45658</v>
      </c>
      <c r="BL11" s="27">
        <f t="shared" si="62"/>
        <v>45689</v>
      </c>
      <c r="BM11" s="27">
        <f t="shared" si="62"/>
        <v>45717</v>
      </c>
      <c r="BN11" s="27">
        <f t="shared" si="62"/>
        <v>45748</v>
      </c>
      <c r="BO11" s="27">
        <f t="shared" si="62"/>
        <v>45778</v>
      </c>
      <c r="BP11" s="27">
        <f t="shared" si="62"/>
        <v>45809</v>
      </c>
      <c r="BQ11" s="27">
        <f t="shared" si="62"/>
        <v>45839</v>
      </c>
      <c r="BR11" s="27">
        <f t="shared" si="62"/>
        <v>45870</v>
      </c>
      <c r="BS11" s="27">
        <f t="shared" si="62"/>
        <v>45901</v>
      </c>
      <c r="BT11" s="27">
        <f t="shared" si="62"/>
        <v>45931</v>
      </c>
      <c r="BU11" s="27">
        <f t="shared" si="62"/>
        <v>45962</v>
      </c>
      <c r="BV11" s="27">
        <f>DATE(BV5,BV6,1)</f>
        <v>45992</v>
      </c>
      <c r="BW11" s="27">
        <f t="shared" si="62"/>
        <v>46023</v>
      </c>
      <c r="BX11" s="27">
        <f t="shared" si="62"/>
        <v>46054</v>
      </c>
      <c r="BY11" s="27">
        <f t="shared" si="62"/>
        <v>46082</v>
      </c>
      <c r="BZ11" s="27">
        <f t="shared" si="62"/>
        <v>46113</v>
      </c>
      <c r="CA11" s="27">
        <f t="shared" si="62"/>
        <v>46143</v>
      </c>
      <c r="CB11" s="27">
        <f t="shared" si="62"/>
        <v>46174</v>
      </c>
      <c r="CC11" s="27">
        <f t="shared" si="62"/>
        <v>46204</v>
      </c>
      <c r="CD11" s="27">
        <f t="shared" si="62"/>
        <v>46235</v>
      </c>
      <c r="CE11" s="27">
        <f t="shared" si="62"/>
        <v>46266</v>
      </c>
      <c r="CF11" s="27">
        <f t="shared" si="62"/>
        <v>46296</v>
      </c>
      <c r="CG11" s="27">
        <f t="shared" si="62"/>
        <v>46327</v>
      </c>
      <c r="CH11" s="27">
        <f t="shared" si="62"/>
        <v>46357</v>
      </c>
    </row>
    <row r="12" spans="2:86" x14ac:dyDescent="0.35">
      <c r="B12" s="63" t="s">
        <v>19</v>
      </c>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row>
    <row r="13" spans="2:86" x14ac:dyDescent="0.35">
      <c r="B13" s="63" t="s">
        <v>20</v>
      </c>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row>
    <row r="14" spans="2:86" x14ac:dyDescent="0.35">
      <c r="B14" s="63" t="s">
        <v>21</v>
      </c>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row>
    <row r="15" spans="2:86" x14ac:dyDescent="0.35">
      <c r="B15" s="63" t="s">
        <v>22</v>
      </c>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row>
    <row r="16" spans="2:86" s="44" customFormat="1" ht="13.15" x14ac:dyDescent="0.4">
      <c r="B16" s="25" t="s">
        <v>48</v>
      </c>
      <c r="C16" s="76">
        <v>0</v>
      </c>
      <c r="D16" s="76">
        <v>0</v>
      </c>
      <c r="E16" s="76">
        <v>0</v>
      </c>
      <c r="F16" s="76">
        <v>0</v>
      </c>
      <c r="G16" s="76">
        <v>0</v>
      </c>
      <c r="H16" s="76">
        <v>0</v>
      </c>
      <c r="I16" s="76">
        <v>0</v>
      </c>
      <c r="J16" s="76">
        <v>0</v>
      </c>
      <c r="K16" s="76">
        <v>0</v>
      </c>
      <c r="L16" s="76">
        <v>0</v>
      </c>
      <c r="M16" s="30">
        <v>0</v>
      </c>
      <c r="N16" s="30">
        <v>0</v>
      </c>
      <c r="O16" s="30">
        <v>0</v>
      </c>
      <c r="P16" s="30">
        <v>0</v>
      </c>
      <c r="Q16" s="30">
        <v>0</v>
      </c>
      <c r="R16" s="30">
        <v>0</v>
      </c>
      <c r="S16" s="30">
        <v>0</v>
      </c>
      <c r="T16" s="30">
        <v>0</v>
      </c>
      <c r="U16" s="30">
        <v>0</v>
      </c>
      <c r="V16" s="30">
        <v>0</v>
      </c>
      <c r="W16" s="30">
        <v>0</v>
      </c>
      <c r="X16" s="30">
        <v>0</v>
      </c>
      <c r="Y16" s="30">
        <v>0</v>
      </c>
      <c r="Z16" s="30">
        <v>0</v>
      </c>
      <c r="AA16" s="30">
        <v>122</v>
      </c>
      <c r="AB16" s="30">
        <v>94</v>
      </c>
      <c r="AC16" s="30">
        <v>249</v>
      </c>
      <c r="AD16" s="30">
        <v>153</v>
      </c>
      <c r="AE16" s="30">
        <v>37</v>
      </c>
      <c r="AF16" s="30">
        <v>151</v>
      </c>
      <c r="AG16" s="30">
        <v>267</v>
      </c>
      <c r="AH16" s="30">
        <v>232</v>
      </c>
      <c r="AI16" s="30">
        <v>237</v>
      </c>
      <c r="AJ16" s="30">
        <v>188</v>
      </c>
      <c r="AK16" s="30">
        <v>17</v>
      </c>
      <c r="AL16" s="30">
        <v>209</v>
      </c>
      <c r="AM16" s="30">
        <v>300</v>
      </c>
      <c r="AN16" s="30">
        <v>147</v>
      </c>
      <c r="AO16" s="30">
        <v>88</v>
      </c>
      <c r="AP16" s="30">
        <v>48</v>
      </c>
      <c r="AQ16" s="30">
        <v>138</v>
      </c>
      <c r="AR16" s="30">
        <v>268</v>
      </c>
      <c r="AS16" s="30">
        <v>159</v>
      </c>
      <c r="AT16" s="30">
        <v>64</v>
      </c>
      <c r="AU16" s="30">
        <v>66</v>
      </c>
      <c r="AV16" s="30">
        <v>32</v>
      </c>
      <c r="AW16" s="30">
        <v>231</v>
      </c>
      <c r="AX16" s="30">
        <v>107</v>
      </c>
      <c r="AY16" s="30">
        <v>54</v>
      </c>
      <c r="AZ16" s="30">
        <v>1</v>
      </c>
      <c r="BA16" s="30">
        <v>7</v>
      </c>
      <c r="BB16" s="30">
        <v>124</v>
      </c>
      <c r="BC16" s="30">
        <v>149</v>
      </c>
      <c r="BD16" s="30">
        <v>67</v>
      </c>
      <c r="BE16" s="30">
        <v>277</v>
      </c>
      <c r="BF16" s="30">
        <v>19</v>
      </c>
      <c r="BG16" s="30">
        <v>52</v>
      </c>
      <c r="BH16" s="30">
        <v>116</v>
      </c>
      <c r="BI16" s="30">
        <v>2</v>
      </c>
      <c r="BJ16" s="30">
        <v>190</v>
      </c>
      <c r="BK16" s="30">
        <v>185</v>
      </c>
      <c r="BL16" s="30">
        <v>74</v>
      </c>
      <c r="BM16" s="30">
        <v>102</v>
      </c>
      <c r="BN16" s="30">
        <v>188</v>
      </c>
      <c r="BO16" s="30">
        <v>216</v>
      </c>
      <c r="BP16" s="30">
        <v>93</v>
      </c>
      <c r="BQ16" s="30">
        <v>206</v>
      </c>
      <c r="BR16" s="30">
        <v>106</v>
      </c>
      <c r="BS16" s="30">
        <v>179</v>
      </c>
      <c r="BT16" s="30">
        <v>55</v>
      </c>
      <c r="BU16" s="30">
        <v>269</v>
      </c>
      <c r="BV16" s="30">
        <v>117</v>
      </c>
      <c r="BW16" s="30">
        <v>12</v>
      </c>
      <c r="BX16" s="30">
        <v>86</v>
      </c>
      <c r="BY16" s="30">
        <v>238.67255923776401</v>
      </c>
      <c r="BZ16" s="30">
        <v>233.67251027489772</v>
      </c>
      <c r="CA16" s="30">
        <v>249.81407912974831</v>
      </c>
      <c r="CB16" s="30">
        <v>262.46088302122411</v>
      </c>
      <c r="CC16" s="30">
        <v>262.79664481716941</v>
      </c>
      <c r="CD16" s="30">
        <v>296.15091696987366</v>
      </c>
      <c r="CE16" s="30">
        <v>367.16468324660417</v>
      </c>
      <c r="CF16" s="30">
        <v>363.63849737483264</v>
      </c>
      <c r="CG16" s="30">
        <v>488.94553906378701</v>
      </c>
      <c r="CH16" s="30">
        <v>842.29582239347644</v>
      </c>
    </row>
    <row r="17" spans="2:86" ht="13.15" x14ac:dyDescent="0.4">
      <c r="B17" s="29" t="s">
        <v>24</v>
      </c>
      <c r="C17" s="31">
        <v>7</v>
      </c>
      <c r="D17" s="31">
        <v>22</v>
      </c>
      <c r="E17" s="31">
        <v>31</v>
      </c>
      <c r="F17" s="31">
        <v>64</v>
      </c>
      <c r="G17" s="31">
        <v>98</v>
      </c>
      <c r="H17" s="31">
        <v>70</v>
      </c>
      <c r="I17" s="31">
        <v>34</v>
      </c>
      <c r="J17" s="31">
        <v>30</v>
      </c>
      <c r="K17" s="31">
        <v>41</v>
      </c>
      <c r="L17" s="31">
        <v>11</v>
      </c>
      <c r="M17" s="31">
        <v>100</v>
      </c>
      <c r="N17" s="31">
        <v>81</v>
      </c>
      <c r="O17" s="31">
        <v>63</v>
      </c>
      <c r="P17" s="31">
        <v>92</v>
      </c>
      <c r="Q17" s="31">
        <v>28</v>
      </c>
      <c r="R17" s="31">
        <v>50</v>
      </c>
      <c r="S17" s="31">
        <v>70</v>
      </c>
      <c r="T17" s="31">
        <v>98</v>
      </c>
      <c r="U17" s="31">
        <v>66</v>
      </c>
      <c r="V17" s="31">
        <v>35</v>
      </c>
      <c r="W17" s="31">
        <v>51</v>
      </c>
      <c r="X17" s="31">
        <v>5</v>
      </c>
      <c r="Y17" s="31">
        <v>7</v>
      </c>
      <c r="Z17" s="31">
        <v>7</v>
      </c>
      <c r="AA17" s="31">
        <v>16</v>
      </c>
      <c r="AB17" s="31">
        <v>43</v>
      </c>
      <c r="AC17" s="31">
        <v>81</v>
      </c>
      <c r="AD17" s="31">
        <v>39</v>
      </c>
      <c r="AE17" s="31">
        <v>62</v>
      </c>
      <c r="AF17" s="31">
        <v>98</v>
      </c>
      <c r="AG17" s="31">
        <v>81</v>
      </c>
      <c r="AH17" s="31">
        <v>69</v>
      </c>
      <c r="AI17" s="31">
        <v>41</v>
      </c>
      <c r="AJ17" s="31">
        <v>34</v>
      </c>
      <c r="AK17" s="31">
        <v>67</v>
      </c>
      <c r="AL17" s="31">
        <v>69</v>
      </c>
      <c r="AM17" s="31">
        <v>38</v>
      </c>
      <c r="AN17" s="31">
        <v>99</v>
      </c>
      <c r="AO17" s="31">
        <v>80</v>
      </c>
      <c r="AP17" s="31">
        <v>60</v>
      </c>
      <c r="AQ17" s="31">
        <v>54</v>
      </c>
      <c r="AR17" s="31">
        <v>74</v>
      </c>
      <c r="AS17" s="31">
        <v>16</v>
      </c>
      <c r="AT17" s="31">
        <v>42</v>
      </c>
      <c r="AU17" s="31">
        <v>92</v>
      </c>
      <c r="AV17" s="31">
        <v>21</v>
      </c>
      <c r="AW17" s="31">
        <v>39</v>
      </c>
      <c r="AX17" s="31">
        <v>10</v>
      </c>
      <c r="AY17" s="31">
        <v>11</v>
      </c>
      <c r="AZ17" s="31">
        <v>79</v>
      </c>
      <c r="BA17" s="31">
        <v>25</v>
      </c>
      <c r="BB17" s="31">
        <v>75</v>
      </c>
      <c r="BC17" s="31">
        <v>59</v>
      </c>
      <c r="BD17" s="31">
        <v>47</v>
      </c>
      <c r="BE17" s="31">
        <v>91</v>
      </c>
      <c r="BF17" s="31">
        <v>23</v>
      </c>
      <c r="BG17" s="31">
        <v>58</v>
      </c>
      <c r="BH17" s="31">
        <v>17</v>
      </c>
      <c r="BI17" s="31">
        <v>25</v>
      </c>
      <c r="BJ17" s="31">
        <v>23</v>
      </c>
      <c r="BK17" s="31">
        <v>96</v>
      </c>
      <c r="BL17" s="31">
        <v>75</v>
      </c>
      <c r="BM17" s="31">
        <v>91</v>
      </c>
      <c r="BN17" s="31">
        <v>97</v>
      </c>
      <c r="BO17" s="31">
        <v>94</v>
      </c>
      <c r="BP17" s="31">
        <v>65</v>
      </c>
      <c r="BQ17" s="31">
        <v>44</v>
      </c>
      <c r="BR17" s="31">
        <v>52</v>
      </c>
      <c r="BS17" s="31">
        <v>47</v>
      </c>
      <c r="BT17" s="31">
        <v>24</v>
      </c>
      <c r="BU17" s="31">
        <v>93</v>
      </c>
      <c r="BV17" s="31">
        <v>26</v>
      </c>
      <c r="BW17" s="31">
        <v>45</v>
      </c>
      <c r="BX17" s="31">
        <v>17</v>
      </c>
      <c r="BY17" s="31">
        <v>86.280748723358897</v>
      </c>
      <c r="BZ17" s="31">
        <v>90.847822471012975</v>
      </c>
      <c r="CA17" s="31">
        <v>99.11699301397941</v>
      </c>
      <c r="CB17" s="31">
        <v>100.61902430215675</v>
      </c>
      <c r="CC17" s="31">
        <v>102.35380001115432</v>
      </c>
      <c r="CD17" s="31">
        <v>116.32664766228949</v>
      </c>
      <c r="CE17" s="31">
        <v>135.91274500860368</v>
      </c>
      <c r="CF17" s="31">
        <v>138.22573212722673</v>
      </c>
      <c r="CG17" s="31">
        <v>182.42971397661185</v>
      </c>
      <c r="CH17" s="31">
        <v>340.8016645164397</v>
      </c>
    </row>
    <row r="18" spans="2:86" x14ac:dyDescent="0.35">
      <c r="B18" s="32" t="s">
        <v>25</v>
      </c>
      <c r="C18" s="33" t="e">
        <v>#DIV/0!</v>
      </c>
      <c r="D18" s="33" t="e">
        <v>#DIV/0!</v>
      </c>
      <c r="E18" s="33" t="e">
        <v>#DIV/0!</v>
      </c>
      <c r="F18" s="33" t="e">
        <v>#DIV/0!</v>
      </c>
      <c r="G18" s="33" t="e">
        <v>#DIV/0!</v>
      </c>
      <c r="H18" s="33" t="e">
        <v>#DIV/0!</v>
      </c>
      <c r="I18" s="33" t="e">
        <v>#DIV/0!</v>
      </c>
      <c r="J18" s="33" t="e">
        <v>#DIV/0!</v>
      </c>
      <c r="K18" s="33" t="e">
        <v>#DIV/0!</v>
      </c>
      <c r="L18" s="33" t="e">
        <v>#DIV/0!</v>
      </c>
      <c r="M18" s="33" t="e">
        <v>#DIV/0!</v>
      </c>
      <c r="N18" s="33" t="e">
        <v>#DIV/0!</v>
      </c>
      <c r="O18" s="33" t="e">
        <v>#DIV/0!</v>
      </c>
      <c r="P18" s="33" t="e">
        <v>#DIV/0!</v>
      </c>
      <c r="Q18" s="33" t="e">
        <v>#DIV/0!</v>
      </c>
      <c r="R18" s="33" t="e">
        <v>#DIV/0!</v>
      </c>
      <c r="S18" s="33" t="e">
        <v>#DIV/0!</v>
      </c>
      <c r="T18" s="33" t="e">
        <v>#DIV/0!</v>
      </c>
      <c r="U18" s="33" t="e">
        <v>#DIV/0!</v>
      </c>
      <c r="V18" s="33" t="e">
        <v>#DIV/0!</v>
      </c>
      <c r="W18" s="33" t="e">
        <v>#DIV/0!</v>
      </c>
      <c r="X18" s="33" t="e">
        <v>#DIV/0!</v>
      </c>
      <c r="Y18" s="33" t="e">
        <v>#DIV/0!</v>
      </c>
      <c r="Z18" s="33" t="e">
        <v>#DIV/0!</v>
      </c>
      <c r="AA18" s="33">
        <v>0.13114754098360656</v>
      </c>
      <c r="AB18" s="33">
        <v>0.45744680851063829</v>
      </c>
      <c r="AC18" s="33">
        <v>0.3253012048192771</v>
      </c>
      <c r="AD18" s="33">
        <v>0.25490196078431371</v>
      </c>
      <c r="AE18" s="33">
        <v>1.6756756756756757</v>
      </c>
      <c r="AF18" s="33">
        <v>0.64900662251655628</v>
      </c>
      <c r="AG18" s="33">
        <v>0.30337078651685395</v>
      </c>
      <c r="AH18" s="33">
        <v>0.29741379310344829</v>
      </c>
      <c r="AI18" s="33">
        <v>0.1729957805907173</v>
      </c>
      <c r="AJ18" s="33">
        <v>0.18085106382978725</v>
      </c>
      <c r="AK18" s="33">
        <v>3.9411764705882355</v>
      </c>
      <c r="AL18" s="33">
        <v>0.33014354066985646</v>
      </c>
      <c r="AM18" s="33">
        <v>0.12666666666666668</v>
      </c>
      <c r="AN18" s="33">
        <v>0.67346938775510201</v>
      </c>
      <c r="AO18" s="33">
        <v>0.90909090909090906</v>
      </c>
      <c r="AP18" s="33">
        <v>1.25</v>
      </c>
      <c r="AQ18" s="33">
        <v>0.39130434782608697</v>
      </c>
      <c r="AR18" s="33">
        <v>0.27611940298507465</v>
      </c>
      <c r="AS18" s="33">
        <v>0.10062893081761007</v>
      </c>
      <c r="AT18" s="33">
        <v>0.65625</v>
      </c>
      <c r="AU18" s="33">
        <v>1.393939393939394</v>
      </c>
      <c r="AV18" s="33">
        <v>0.65625</v>
      </c>
      <c r="AW18" s="33">
        <v>0.16883116883116883</v>
      </c>
      <c r="AX18" s="33">
        <v>9.3457943925233641E-2</v>
      </c>
      <c r="AY18" s="33">
        <v>0.20370370370370369</v>
      </c>
      <c r="AZ18" s="33">
        <v>79</v>
      </c>
      <c r="BA18" s="33">
        <v>3.5714285714285716</v>
      </c>
      <c r="BB18" s="33">
        <v>0.60483870967741937</v>
      </c>
      <c r="BC18" s="33">
        <v>0.39597315436241609</v>
      </c>
      <c r="BD18" s="33">
        <v>0.70149253731343286</v>
      </c>
      <c r="BE18" s="33">
        <v>0.32851985559566788</v>
      </c>
      <c r="BF18" s="33">
        <v>1.2105263157894737</v>
      </c>
      <c r="BG18" s="33">
        <v>1.1153846153846154</v>
      </c>
      <c r="BH18" s="33">
        <v>0.14655172413793102</v>
      </c>
      <c r="BI18" s="33">
        <v>12.5</v>
      </c>
      <c r="BJ18" s="33">
        <v>0.12105263157894737</v>
      </c>
      <c r="BK18" s="33">
        <v>0.37449263380719111</v>
      </c>
      <c r="BL18" s="33">
        <v>0.36167017329812207</v>
      </c>
      <c r="BM18" s="33">
        <v>0.36721414121090407</v>
      </c>
      <c r="BN18" s="33">
        <v>0.35988790272753285</v>
      </c>
      <c r="BO18" s="33">
        <v>0.37950756168838629</v>
      </c>
      <c r="BP18" s="33">
        <v>0.38628965821301742</v>
      </c>
      <c r="BQ18" s="33">
        <v>0.37891805328329781</v>
      </c>
      <c r="BR18" s="33">
        <v>0.36598392500049853</v>
      </c>
      <c r="BS18" s="33">
        <v>0.35850634179689139</v>
      </c>
      <c r="BT18" s="33">
        <v>0.36980752347424517</v>
      </c>
      <c r="BU18" s="33">
        <v>0.36046538246098558</v>
      </c>
      <c r="BV18" s="33">
        <v>0.39657845814108794</v>
      </c>
      <c r="BW18" s="33">
        <v>0.3537436851204605</v>
      </c>
      <c r="BX18" s="33">
        <v>0.36701163030294609</v>
      </c>
      <c r="BY18" s="127">
        <f t="shared" ref="BK18:CH18" si="63">BY17/BY$16</f>
        <v>0.36150259166327786</v>
      </c>
      <c r="BZ18" s="127">
        <f t="shared" si="63"/>
        <v>0.38878267008873874</v>
      </c>
      <c r="CA18" s="127">
        <f t="shared" si="63"/>
        <v>0.39676303817328118</v>
      </c>
      <c r="CB18" s="127">
        <f t="shared" si="63"/>
        <v>0.3833676970980095</v>
      </c>
      <c r="CC18" s="127">
        <f t="shared" si="63"/>
        <v>0.38947909735439362</v>
      </c>
      <c r="CD18" s="127">
        <f t="shared" si="63"/>
        <v>0.39279516285989746</v>
      </c>
      <c r="CE18" s="127">
        <f t="shared" si="63"/>
        <v>0.37016835008970245</v>
      </c>
      <c r="CF18" s="127">
        <f t="shared" si="63"/>
        <v>0.38011853289764835</v>
      </c>
      <c r="CG18" s="127">
        <f t="shared" si="63"/>
        <v>0.37310845360389389</v>
      </c>
      <c r="CH18" s="127">
        <f t="shared" si="63"/>
        <v>0.40461041768913703</v>
      </c>
    </row>
    <row r="19" spans="2:86" ht="13.15" x14ac:dyDescent="0.4">
      <c r="B19" s="29" t="s">
        <v>57</v>
      </c>
      <c r="C19" s="34">
        <v>7</v>
      </c>
      <c r="D19" s="34">
        <v>6</v>
      </c>
      <c r="E19" s="34">
        <v>37</v>
      </c>
      <c r="F19" s="34">
        <v>45</v>
      </c>
      <c r="G19" s="34">
        <v>28</v>
      </c>
      <c r="H19" s="34">
        <v>16</v>
      </c>
      <c r="I19" s="34">
        <v>17</v>
      </c>
      <c r="J19" s="34">
        <v>35</v>
      </c>
      <c r="K19" s="34">
        <v>16</v>
      </c>
      <c r="L19" s="34">
        <v>12</v>
      </c>
      <c r="M19" s="34">
        <v>10</v>
      </c>
      <c r="N19" s="34">
        <v>21</v>
      </c>
      <c r="O19" s="34">
        <v>12</v>
      </c>
      <c r="P19" s="34">
        <v>8</v>
      </c>
      <c r="Q19" s="34">
        <v>3</v>
      </c>
      <c r="R19" s="34">
        <v>19</v>
      </c>
      <c r="S19" s="34">
        <v>27</v>
      </c>
      <c r="T19" s="34">
        <v>42</v>
      </c>
      <c r="U19" s="34">
        <v>49</v>
      </c>
      <c r="V19" s="34">
        <v>36</v>
      </c>
      <c r="W19" s="34">
        <v>3</v>
      </c>
      <c r="X19" s="34">
        <v>19</v>
      </c>
      <c r="Y19" s="34">
        <v>32</v>
      </c>
      <c r="Z19" s="34">
        <v>37</v>
      </c>
      <c r="AA19" s="34">
        <v>34</v>
      </c>
      <c r="AB19" s="34">
        <v>41</v>
      </c>
      <c r="AC19" s="34">
        <v>45</v>
      </c>
      <c r="AD19" s="34">
        <v>38</v>
      </c>
      <c r="AE19" s="34">
        <v>23</v>
      </c>
      <c r="AF19" s="34">
        <v>8</v>
      </c>
      <c r="AG19" s="34">
        <v>21</v>
      </c>
      <c r="AH19" s="34">
        <v>28</v>
      </c>
      <c r="AI19" s="34">
        <v>39</v>
      </c>
      <c r="AJ19" s="34">
        <v>35</v>
      </c>
      <c r="AK19" s="34">
        <v>18</v>
      </c>
      <c r="AL19" s="34">
        <v>38</v>
      </c>
      <c r="AM19" s="34">
        <v>39</v>
      </c>
      <c r="AN19" s="34">
        <v>32</v>
      </c>
      <c r="AO19" s="34">
        <v>19</v>
      </c>
      <c r="AP19" s="34">
        <v>44</v>
      </c>
      <c r="AQ19" s="34">
        <v>7</v>
      </c>
      <c r="AR19" s="34">
        <v>25</v>
      </c>
      <c r="AS19" s="34">
        <v>1</v>
      </c>
      <c r="AT19" s="34">
        <v>38</v>
      </c>
      <c r="AU19" s="34">
        <v>45</v>
      </c>
      <c r="AV19" s="34">
        <v>21</v>
      </c>
      <c r="AW19" s="34">
        <v>7</v>
      </c>
      <c r="AX19" s="34">
        <v>35</v>
      </c>
      <c r="AY19" s="34">
        <v>4</v>
      </c>
      <c r="AZ19" s="34">
        <v>4</v>
      </c>
      <c r="BA19" s="34">
        <v>10</v>
      </c>
      <c r="BB19" s="34">
        <v>45</v>
      </c>
      <c r="BC19" s="34">
        <v>18</v>
      </c>
      <c r="BD19" s="34">
        <v>34</v>
      </c>
      <c r="BE19" s="34">
        <v>47</v>
      </c>
      <c r="BF19" s="34">
        <v>22</v>
      </c>
      <c r="BG19" s="34">
        <v>20</v>
      </c>
      <c r="BH19" s="34">
        <v>49</v>
      </c>
      <c r="BI19" s="34">
        <v>21</v>
      </c>
      <c r="BJ19" s="34">
        <v>1</v>
      </c>
      <c r="BK19" s="34">
        <v>37</v>
      </c>
      <c r="BL19" s="34">
        <v>3</v>
      </c>
      <c r="BM19" s="34">
        <v>21</v>
      </c>
      <c r="BN19" s="34">
        <v>47</v>
      </c>
      <c r="BO19" s="34">
        <v>46</v>
      </c>
      <c r="BP19" s="34">
        <v>27</v>
      </c>
      <c r="BQ19" s="34">
        <v>0</v>
      </c>
      <c r="BR19" s="34">
        <v>47</v>
      </c>
      <c r="BS19" s="34">
        <v>4</v>
      </c>
      <c r="BT19" s="34">
        <v>38</v>
      </c>
      <c r="BU19" s="34">
        <v>40</v>
      </c>
      <c r="BV19" s="34">
        <v>2</v>
      </c>
      <c r="BW19" s="34">
        <v>19</v>
      </c>
      <c r="BX19" s="34">
        <v>41</v>
      </c>
      <c r="BY19" s="34">
        <v>-9.0653369931077954</v>
      </c>
      <c r="BZ19" s="34">
        <v>3.6284588306449188</v>
      </c>
      <c r="CA19" s="34">
        <v>9.5785192092292117</v>
      </c>
      <c r="CB19" s="34">
        <v>12.333320791995151</v>
      </c>
      <c r="CC19" s="34">
        <v>8.7388396620793998</v>
      </c>
      <c r="CD19" s="34">
        <v>27.809397798227256</v>
      </c>
      <c r="CE19" s="34">
        <v>39.419514721136288</v>
      </c>
      <c r="CF19" s="34">
        <v>42.414286111406149</v>
      </c>
      <c r="CG19" s="34">
        <v>74.804308616700652</v>
      </c>
      <c r="CH19" s="34">
        <v>186.54848339280971</v>
      </c>
    </row>
    <row r="20" spans="2:86" x14ac:dyDescent="0.35">
      <c r="B20" s="35" t="s">
        <v>25</v>
      </c>
      <c r="C20" s="33" t="e">
        <v>#DIV/0!</v>
      </c>
      <c r="D20" s="33" t="e">
        <v>#DIV/0!</v>
      </c>
      <c r="E20" s="33" t="e">
        <v>#DIV/0!</v>
      </c>
      <c r="F20" s="33" t="e">
        <v>#DIV/0!</v>
      </c>
      <c r="G20" s="33" t="e">
        <v>#DIV/0!</v>
      </c>
      <c r="H20" s="33" t="e">
        <v>#DIV/0!</v>
      </c>
      <c r="I20" s="33" t="e">
        <v>#DIV/0!</v>
      </c>
      <c r="J20" s="33" t="e">
        <v>#DIV/0!</v>
      </c>
      <c r="K20" s="33" t="e">
        <v>#DIV/0!</v>
      </c>
      <c r="L20" s="33" t="e">
        <v>#DIV/0!</v>
      </c>
      <c r="M20" s="33" t="e">
        <v>#DIV/0!</v>
      </c>
      <c r="N20" s="33" t="e">
        <v>#DIV/0!</v>
      </c>
      <c r="O20" s="33" t="e">
        <v>#DIV/0!</v>
      </c>
      <c r="P20" s="33" t="e">
        <v>#DIV/0!</v>
      </c>
      <c r="Q20" s="33" t="e">
        <v>#DIV/0!</v>
      </c>
      <c r="R20" s="33" t="e">
        <v>#DIV/0!</v>
      </c>
      <c r="S20" s="33" t="e">
        <v>#DIV/0!</v>
      </c>
      <c r="T20" s="33" t="e">
        <v>#DIV/0!</v>
      </c>
      <c r="U20" s="33" t="e">
        <v>#DIV/0!</v>
      </c>
      <c r="V20" s="33" t="e">
        <v>#DIV/0!</v>
      </c>
      <c r="W20" s="33" t="e">
        <v>#DIV/0!</v>
      </c>
      <c r="X20" s="33" t="e">
        <v>#DIV/0!</v>
      </c>
      <c r="Y20" s="33" t="e">
        <v>#DIV/0!</v>
      </c>
      <c r="Z20" s="33" t="e">
        <v>#DIV/0!</v>
      </c>
      <c r="AA20" s="33">
        <v>0.27868852459016391</v>
      </c>
      <c r="AB20" s="33">
        <v>0.43617021276595747</v>
      </c>
      <c r="AC20" s="33">
        <v>0.18072289156626506</v>
      </c>
      <c r="AD20" s="33">
        <v>0.24836601307189543</v>
      </c>
      <c r="AE20" s="33">
        <v>0.6216216216216216</v>
      </c>
      <c r="AF20" s="33">
        <v>5.2980132450331126E-2</v>
      </c>
      <c r="AG20" s="33">
        <v>7.8651685393258425E-2</v>
      </c>
      <c r="AH20" s="33">
        <v>0.1206896551724138</v>
      </c>
      <c r="AI20" s="33">
        <v>0.16455696202531644</v>
      </c>
      <c r="AJ20" s="33">
        <v>0.18617021276595744</v>
      </c>
      <c r="AK20" s="33">
        <v>1.0588235294117647</v>
      </c>
      <c r="AL20" s="33">
        <v>0.18181818181818182</v>
      </c>
      <c r="AM20" s="33">
        <v>0.13</v>
      </c>
      <c r="AN20" s="33">
        <v>0.21768707482993196</v>
      </c>
      <c r="AO20" s="33">
        <v>0.21590909090909091</v>
      </c>
      <c r="AP20" s="33">
        <v>0.91666666666666663</v>
      </c>
      <c r="AQ20" s="33">
        <v>5.0724637681159424E-2</v>
      </c>
      <c r="AR20" s="33">
        <v>9.3283582089552244E-2</v>
      </c>
      <c r="AS20" s="33">
        <v>6.2893081761006293E-3</v>
      </c>
      <c r="AT20" s="33">
        <v>0.59375</v>
      </c>
      <c r="AU20" s="33">
        <v>0.68181818181818177</v>
      </c>
      <c r="AV20" s="33">
        <v>0.65625</v>
      </c>
      <c r="AW20" s="33">
        <v>3.0303030303030304E-2</v>
      </c>
      <c r="AX20" s="33">
        <v>0.32710280373831774</v>
      </c>
      <c r="AY20" s="33">
        <v>7.407407407407407E-2</v>
      </c>
      <c r="AZ20" s="33">
        <v>4</v>
      </c>
      <c r="BA20" s="33">
        <v>1.4285714285714286</v>
      </c>
      <c r="BB20" s="33">
        <v>0.36290322580645162</v>
      </c>
      <c r="BC20" s="33">
        <v>0.12080536912751678</v>
      </c>
      <c r="BD20" s="33">
        <v>0.5074626865671642</v>
      </c>
      <c r="BE20" s="33">
        <v>0.16967509025270758</v>
      </c>
      <c r="BF20" s="33">
        <v>1.1578947368421053</v>
      </c>
      <c r="BG20" s="33">
        <v>0.38461538461538464</v>
      </c>
      <c r="BH20" s="33">
        <v>0.42241379310344829</v>
      </c>
      <c r="BI20" s="33">
        <v>10.5</v>
      </c>
      <c r="BJ20" s="33">
        <v>5.263157894736842E-3</v>
      </c>
      <c r="BK20" s="33">
        <v>5.1978574568891628E-2</v>
      </c>
      <c r="BL20" s="33">
        <v>-1.2041004419372002E-2</v>
      </c>
      <c r="BM20" s="33">
        <v>2.5599611917632987E-3</v>
      </c>
      <c r="BN20" s="33">
        <v>-1.6940532321351696E-2</v>
      </c>
      <c r="BO20" s="33">
        <v>-2.003597512249488E-2</v>
      </c>
      <c r="BP20" s="33">
        <v>2.5115863644272183E-2</v>
      </c>
      <c r="BQ20" s="33">
        <v>1.4414341031572603E-2</v>
      </c>
      <c r="BR20" s="33">
        <v>1.9856508301668095E-2</v>
      </c>
      <c r="BS20" s="33">
        <v>0.1226923546748013</v>
      </c>
      <c r="BT20" s="33">
        <v>0.11640395040653147</v>
      </c>
      <c r="BU20" s="33">
        <v>0.12455088005514815</v>
      </c>
      <c r="BV20" s="33">
        <v>0.21303005851595999</v>
      </c>
      <c r="BW20" s="33">
        <v>1.5120050322421595E-3</v>
      </c>
      <c r="BX20" s="33">
        <v>-7.7679233197183147E-3</v>
      </c>
      <c r="BY20" s="127">
        <f t="shared" ref="BK20:CH20" si="64">BY19/BY$16</f>
        <v>-3.7982317791619133E-2</v>
      </c>
      <c r="BZ20" s="127">
        <f t="shared" si="64"/>
        <v>1.5527966153897677E-2</v>
      </c>
      <c r="CA20" s="127">
        <f t="shared" si="64"/>
        <v>3.83425915889005E-2</v>
      </c>
      <c r="CB20" s="127">
        <f t="shared" si="64"/>
        <v>4.6991081680532967E-2</v>
      </c>
      <c r="CC20" s="127">
        <f t="shared" si="64"/>
        <v>3.3253239089711777E-2</v>
      </c>
      <c r="CD20" s="127">
        <f t="shared" si="64"/>
        <v>9.3902791464448521E-2</v>
      </c>
      <c r="CE20" s="127">
        <f t="shared" si="64"/>
        <v>0.10736194552421149</v>
      </c>
      <c r="CF20" s="127">
        <f t="shared" si="64"/>
        <v>0.11663860239661643</v>
      </c>
      <c r="CG20" s="127">
        <f t="shared" si="64"/>
        <v>0.15299108518288743</v>
      </c>
      <c r="CH20" s="127">
        <f t="shared" si="64"/>
        <v>0.22147620637926427</v>
      </c>
    </row>
    <row r="21" spans="2:86" ht="13.15" x14ac:dyDescent="0.4">
      <c r="B21" s="29" t="s">
        <v>27</v>
      </c>
      <c r="C21" s="34">
        <v>12</v>
      </c>
      <c r="D21" s="34">
        <v>11</v>
      </c>
      <c r="E21" s="34">
        <v>7</v>
      </c>
      <c r="F21" s="34">
        <v>4</v>
      </c>
      <c r="G21" s="34">
        <v>16</v>
      </c>
      <c r="H21" s="34">
        <v>2</v>
      </c>
      <c r="I21" s="34">
        <v>5</v>
      </c>
      <c r="J21" s="34">
        <v>0</v>
      </c>
      <c r="K21" s="34">
        <v>2</v>
      </c>
      <c r="L21" s="34">
        <v>10</v>
      </c>
      <c r="M21" s="34">
        <v>19</v>
      </c>
      <c r="N21" s="34">
        <v>5</v>
      </c>
      <c r="O21" s="34">
        <v>3</v>
      </c>
      <c r="P21" s="34">
        <v>9</v>
      </c>
      <c r="Q21" s="34">
        <v>18</v>
      </c>
      <c r="R21" s="34">
        <v>11</v>
      </c>
      <c r="S21" s="34">
        <v>18</v>
      </c>
      <c r="T21" s="34">
        <v>0</v>
      </c>
      <c r="U21" s="34">
        <v>5</v>
      </c>
      <c r="V21" s="34">
        <v>5</v>
      </c>
      <c r="W21" s="34">
        <v>5</v>
      </c>
      <c r="X21" s="34">
        <v>18</v>
      </c>
      <c r="Y21" s="34">
        <v>12</v>
      </c>
      <c r="Z21" s="34">
        <v>13</v>
      </c>
      <c r="AA21" s="34">
        <v>3</v>
      </c>
      <c r="AB21" s="34">
        <v>6</v>
      </c>
      <c r="AC21" s="34">
        <v>0</v>
      </c>
      <c r="AD21" s="34">
        <v>4</v>
      </c>
      <c r="AE21" s="34">
        <v>7</v>
      </c>
      <c r="AF21" s="34">
        <v>20</v>
      </c>
      <c r="AG21" s="34">
        <v>12</v>
      </c>
      <c r="AH21" s="34">
        <v>7</v>
      </c>
      <c r="AI21" s="34">
        <v>11</v>
      </c>
      <c r="AJ21" s="34">
        <v>6</v>
      </c>
      <c r="AK21" s="34">
        <v>17</v>
      </c>
      <c r="AL21" s="34">
        <v>3</v>
      </c>
      <c r="AM21" s="34">
        <v>7</v>
      </c>
      <c r="AN21" s="34">
        <v>18</v>
      </c>
      <c r="AO21" s="34">
        <v>6</v>
      </c>
      <c r="AP21" s="34">
        <v>9</v>
      </c>
      <c r="AQ21" s="34">
        <v>16</v>
      </c>
      <c r="AR21" s="34">
        <v>18</v>
      </c>
      <c r="AS21" s="34">
        <v>18</v>
      </c>
      <c r="AT21" s="34">
        <v>13</v>
      </c>
      <c r="AU21" s="34">
        <v>1</v>
      </c>
      <c r="AV21" s="34">
        <v>10</v>
      </c>
      <c r="AW21" s="34">
        <v>18</v>
      </c>
      <c r="AX21" s="34">
        <v>17</v>
      </c>
      <c r="AY21" s="34">
        <v>16</v>
      </c>
      <c r="AZ21" s="34">
        <v>10</v>
      </c>
      <c r="BA21" s="34">
        <v>13</v>
      </c>
      <c r="BB21" s="34">
        <v>12</v>
      </c>
      <c r="BC21" s="34">
        <v>6</v>
      </c>
      <c r="BD21" s="34">
        <v>2</v>
      </c>
      <c r="BE21" s="34">
        <v>1</v>
      </c>
      <c r="BF21" s="34">
        <v>14</v>
      </c>
      <c r="BG21" s="34">
        <v>10</v>
      </c>
      <c r="BH21" s="34">
        <v>12</v>
      </c>
      <c r="BI21" s="34">
        <v>19</v>
      </c>
      <c r="BJ21" s="34">
        <v>15</v>
      </c>
      <c r="BK21" s="34">
        <v>6</v>
      </c>
      <c r="BL21" s="34">
        <v>3</v>
      </c>
      <c r="BM21" s="34">
        <v>19</v>
      </c>
      <c r="BN21" s="34">
        <v>4</v>
      </c>
      <c r="BO21" s="34">
        <v>2</v>
      </c>
      <c r="BP21" s="34">
        <v>13</v>
      </c>
      <c r="BQ21" s="34">
        <v>1</v>
      </c>
      <c r="BR21" s="34">
        <v>12</v>
      </c>
      <c r="BS21" s="34">
        <v>12</v>
      </c>
      <c r="BT21" s="34">
        <v>17</v>
      </c>
      <c r="BU21" s="34">
        <v>16</v>
      </c>
      <c r="BV21" s="34">
        <v>3</v>
      </c>
      <c r="BW21" s="34">
        <v>10</v>
      </c>
      <c r="BX21" s="34">
        <v>9</v>
      </c>
      <c r="BY21" s="34">
        <v>-30.745796127764219</v>
      </c>
      <c r="BZ21" s="34">
        <v>-12.867119614035353</v>
      </c>
      <c r="CA21" s="34">
        <v>-12.269939128135995</v>
      </c>
      <c r="CB21" s="34">
        <v>-21.273808580938233</v>
      </c>
      <c r="CC21" s="34">
        <v>-8.4346523307241252</v>
      </c>
      <c r="CD21" s="34">
        <v>-7.3591225146057155</v>
      </c>
      <c r="CE21" s="34">
        <v>-7.6211739342146458</v>
      </c>
      <c r="CF21" s="34">
        <v>-8.5656801271708893</v>
      </c>
      <c r="CG21" s="34">
        <v>-8.0188525549451573</v>
      </c>
      <c r="CH21" s="34">
        <v>-7.0965099118316175</v>
      </c>
    </row>
    <row r="22" spans="2:86" ht="13.15" x14ac:dyDescent="0.4">
      <c r="B22" s="29" t="s">
        <v>58</v>
      </c>
      <c r="C22" s="36">
        <v>921</v>
      </c>
      <c r="D22" s="36">
        <v>910</v>
      </c>
      <c r="E22" s="36">
        <v>874</v>
      </c>
      <c r="F22" s="36">
        <v>920</v>
      </c>
      <c r="G22" s="36">
        <v>957</v>
      </c>
      <c r="H22" s="36">
        <v>906</v>
      </c>
      <c r="I22" s="36">
        <v>915</v>
      </c>
      <c r="J22" s="36">
        <v>955</v>
      </c>
      <c r="K22" s="36">
        <v>924</v>
      </c>
      <c r="L22" s="36">
        <v>967</v>
      </c>
      <c r="M22" s="36">
        <v>964</v>
      </c>
      <c r="N22" s="36">
        <v>874</v>
      </c>
      <c r="O22" s="36">
        <v>909</v>
      </c>
      <c r="P22" s="36">
        <v>875</v>
      </c>
      <c r="Q22" s="36">
        <v>947</v>
      </c>
      <c r="R22" s="36">
        <v>947</v>
      </c>
      <c r="S22" s="36">
        <v>962</v>
      </c>
      <c r="T22" s="36">
        <v>891</v>
      </c>
      <c r="U22" s="36">
        <v>900</v>
      </c>
      <c r="V22" s="36">
        <v>886</v>
      </c>
      <c r="W22" s="36">
        <v>954</v>
      </c>
      <c r="X22" s="36">
        <v>874</v>
      </c>
      <c r="Y22" s="36">
        <v>888</v>
      </c>
      <c r="Z22" s="36">
        <v>895</v>
      </c>
      <c r="AA22" s="36">
        <v>902</v>
      </c>
      <c r="AB22" s="36">
        <v>893</v>
      </c>
      <c r="AC22" s="36">
        <v>962</v>
      </c>
      <c r="AD22" s="36">
        <v>944</v>
      </c>
      <c r="AE22" s="36">
        <v>924</v>
      </c>
      <c r="AF22" s="36">
        <v>916</v>
      </c>
      <c r="AG22" s="36">
        <v>957</v>
      </c>
      <c r="AH22" s="36">
        <v>916</v>
      </c>
      <c r="AI22" s="36">
        <v>926</v>
      </c>
      <c r="AJ22" s="36">
        <v>944</v>
      </c>
      <c r="AK22" s="36">
        <v>878</v>
      </c>
      <c r="AL22" s="36">
        <v>961</v>
      </c>
      <c r="AM22" s="36">
        <v>888</v>
      </c>
      <c r="AN22" s="36">
        <v>927</v>
      </c>
      <c r="AO22" s="36">
        <v>937</v>
      </c>
      <c r="AP22" s="36">
        <v>895</v>
      </c>
      <c r="AQ22" s="36">
        <v>941</v>
      </c>
      <c r="AR22" s="36">
        <v>959</v>
      </c>
      <c r="AS22" s="36">
        <v>891</v>
      </c>
      <c r="AT22" s="36">
        <v>901</v>
      </c>
      <c r="AU22" s="36">
        <v>921</v>
      </c>
      <c r="AV22" s="36">
        <v>875</v>
      </c>
      <c r="AW22" s="36">
        <v>942</v>
      </c>
      <c r="AX22" s="36">
        <v>942</v>
      </c>
      <c r="AY22" s="36">
        <v>956</v>
      </c>
      <c r="AZ22" s="36">
        <v>895</v>
      </c>
      <c r="BA22" s="36">
        <v>933</v>
      </c>
      <c r="BB22" s="36">
        <v>876</v>
      </c>
      <c r="BC22" s="36">
        <v>884</v>
      </c>
      <c r="BD22" s="36">
        <v>925</v>
      </c>
      <c r="BE22" s="36">
        <v>913</v>
      </c>
      <c r="BF22" s="36">
        <v>943</v>
      </c>
      <c r="BG22" s="36">
        <v>915</v>
      </c>
      <c r="BH22" s="36">
        <v>934</v>
      </c>
      <c r="BI22" s="36">
        <v>883</v>
      </c>
      <c r="BJ22" s="36">
        <v>957</v>
      </c>
      <c r="BK22" s="36">
        <v>965</v>
      </c>
      <c r="BL22" s="36">
        <v>928</v>
      </c>
      <c r="BM22" s="36">
        <v>965</v>
      </c>
      <c r="BN22" s="36">
        <v>968</v>
      </c>
      <c r="BO22" s="36">
        <v>918</v>
      </c>
      <c r="BP22" s="36">
        <v>933</v>
      </c>
      <c r="BQ22" s="36">
        <v>914</v>
      </c>
      <c r="BR22" s="36">
        <v>940</v>
      </c>
      <c r="BS22" s="36">
        <v>962</v>
      </c>
      <c r="BT22" s="36">
        <v>950</v>
      </c>
      <c r="BU22" s="36">
        <v>945</v>
      </c>
      <c r="BV22" s="36">
        <v>959</v>
      </c>
      <c r="BW22" s="36">
        <v>970</v>
      </c>
      <c r="BX22" s="36">
        <v>893</v>
      </c>
      <c r="BY22" s="128">
        <f t="shared" ref="BK22:CH22" si="65">BY23-BY24</f>
        <v>1310.884200987246</v>
      </c>
      <c r="BZ22" s="128">
        <f t="shared" si="65"/>
        <v>1351.5320135947316</v>
      </c>
      <c r="CA22" s="128">
        <f t="shared" si="65"/>
        <v>1397.2631777707522</v>
      </c>
      <c r="CB22" s="128">
        <f t="shared" si="65"/>
        <v>1401.7794600810219</v>
      </c>
      <c r="CC22" s="128">
        <f t="shared" si="65"/>
        <v>1411.5930059214256</v>
      </c>
      <c r="CD22" s="128">
        <f t="shared" si="65"/>
        <v>1415.1971512955595</v>
      </c>
      <c r="CE22" s="128">
        <f t="shared" si="65"/>
        <v>1386.6751555539533</v>
      </c>
      <c r="CF22" s="128">
        <f t="shared" si="65"/>
        <v>1359.4494353772718</v>
      </c>
      <c r="CG22" s="128">
        <f t="shared" si="65"/>
        <v>1334.4361329397675</v>
      </c>
      <c r="CH22" s="128">
        <f t="shared" si="65"/>
        <v>841.92626390033695</v>
      </c>
    </row>
    <row r="23" spans="2:86" x14ac:dyDescent="0.35">
      <c r="B23" s="37" t="s">
        <v>59</v>
      </c>
      <c r="C23" s="38">
        <v>972</v>
      </c>
      <c r="D23" s="38">
        <v>972</v>
      </c>
      <c r="E23" s="38">
        <v>972</v>
      </c>
      <c r="F23" s="38">
        <v>972</v>
      </c>
      <c r="G23" s="38">
        <v>972</v>
      </c>
      <c r="H23" s="38">
        <v>972</v>
      </c>
      <c r="I23" s="38">
        <v>972</v>
      </c>
      <c r="J23" s="38">
        <v>972</v>
      </c>
      <c r="K23" s="38">
        <v>972</v>
      </c>
      <c r="L23" s="38">
        <v>972</v>
      </c>
      <c r="M23" s="38">
        <v>972</v>
      </c>
      <c r="N23" s="38">
        <v>972</v>
      </c>
      <c r="O23" s="38">
        <v>972</v>
      </c>
      <c r="P23" s="38">
        <v>972</v>
      </c>
      <c r="Q23" s="38">
        <v>972</v>
      </c>
      <c r="R23" s="38">
        <v>972</v>
      </c>
      <c r="S23" s="38">
        <v>972</v>
      </c>
      <c r="T23" s="38">
        <v>972</v>
      </c>
      <c r="U23" s="38">
        <v>972</v>
      </c>
      <c r="V23" s="38">
        <v>972</v>
      </c>
      <c r="W23" s="38">
        <v>972</v>
      </c>
      <c r="X23" s="38">
        <v>972</v>
      </c>
      <c r="Y23" s="38">
        <v>972</v>
      </c>
      <c r="Z23" s="38">
        <v>972</v>
      </c>
      <c r="AA23" s="38">
        <v>972</v>
      </c>
      <c r="AB23" s="38">
        <v>972</v>
      </c>
      <c r="AC23" s="38">
        <v>972</v>
      </c>
      <c r="AD23" s="38">
        <v>972</v>
      </c>
      <c r="AE23" s="38">
        <v>972</v>
      </c>
      <c r="AF23" s="38">
        <v>972</v>
      </c>
      <c r="AG23" s="38">
        <v>972</v>
      </c>
      <c r="AH23" s="38">
        <v>972</v>
      </c>
      <c r="AI23" s="38">
        <v>972</v>
      </c>
      <c r="AJ23" s="38">
        <v>972</v>
      </c>
      <c r="AK23" s="38">
        <v>972</v>
      </c>
      <c r="AL23" s="38">
        <v>972</v>
      </c>
      <c r="AM23" s="38">
        <v>972</v>
      </c>
      <c r="AN23" s="38">
        <v>972</v>
      </c>
      <c r="AO23" s="38">
        <v>972</v>
      </c>
      <c r="AP23" s="38">
        <v>972</v>
      </c>
      <c r="AQ23" s="38">
        <v>972</v>
      </c>
      <c r="AR23" s="38">
        <v>972</v>
      </c>
      <c r="AS23" s="38">
        <v>972</v>
      </c>
      <c r="AT23" s="38">
        <v>972</v>
      </c>
      <c r="AU23" s="38">
        <v>972</v>
      </c>
      <c r="AV23" s="38">
        <v>972</v>
      </c>
      <c r="AW23" s="38">
        <v>972</v>
      </c>
      <c r="AX23" s="38">
        <v>972</v>
      </c>
      <c r="AY23" s="38">
        <v>972</v>
      </c>
      <c r="AZ23" s="38">
        <v>972</v>
      </c>
      <c r="BA23" s="38">
        <v>972</v>
      </c>
      <c r="BB23" s="38">
        <v>972</v>
      </c>
      <c r="BC23" s="38">
        <v>972</v>
      </c>
      <c r="BD23" s="38">
        <v>972</v>
      </c>
      <c r="BE23" s="38">
        <v>972</v>
      </c>
      <c r="BF23" s="38">
        <v>972</v>
      </c>
      <c r="BG23" s="38">
        <v>972</v>
      </c>
      <c r="BH23" s="38">
        <v>972</v>
      </c>
      <c r="BI23" s="38">
        <v>972</v>
      </c>
      <c r="BJ23" s="38">
        <v>972</v>
      </c>
      <c r="BK23" s="38">
        <v>972</v>
      </c>
      <c r="BL23" s="38">
        <v>972</v>
      </c>
      <c r="BM23" s="38">
        <v>972</v>
      </c>
      <c r="BN23" s="38">
        <v>972</v>
      </c>
      <c r="BO23" s="38">
        <v>972</v>
      </c>
      <c r="BP23" s="38">
        <v>972</v>
      </c>
      <c r="BQ23" s="38">
        <v>972</v>
      </c>
      <c r="BR23" s="38">
        <v>972</v>
      </c>
      <c r="BS23" s="38">
        <v>972</v>
      </c>
      <c r="BT23" s="38">
        <v>972</v>
      </c>
      <c r="BU23" s="38">
        <v>972</v>
      </c>
      <c r="BV23" s="38">
        <v>972</v>
      </c>
      <c r="BW23" s="38">
        <v>972</v>
      </c>
      <c r="BX23" s="38">
        <v>972</v>
      </c>
      <c r="BY23" s="75">
        <v>1324.1973680000001</v>
      </c>
      <c r="BZ23" s="75">
        <v>1364.1973680000001</v>
      </c>
      <c r="CA23" s="75">
        <v>1414.1973680000001</v>
      </c>
      <c r="CB23" s="75">
        <v>1419.638158</v>
      </c>
      <c r="CC23" s="75">
        <v>1429.638158</v>
      </c>
      <c r="CD23" s="75">
        <v>1429.638158</v>
      </c>
      <c r="CE23" s="75">
        <v>1409.638158</v>
      </c>
      <c r="CF23" s="75">
        <v>1389.638158</v>
      </c>
      <c r="CG23" s="75">
        <v>1364.638158</v>
      </c>
      <c r="CH23" s="75">
        <v>905.96052599999996</v>
      </c>
    </row>
    <row r="24" spans="2:86" x14ac:dyDescent="0.35">
      <c r="B24" s="37" t="s">
        <v>50</v>
      </c>
      <c r="C24" s="38">
        <v>51</v>
      </c>
      <c r="D24" s="38">
        <v>62</v>
      </c>
      <c r="E24" s="38">
        <v>98</v>
      </c>
      <c r="F24" s="38">
        <v>52</v>
      </c>
      <c r="G24" s="38">
        <v>15</v>
      </c>
      <c r="H24" s="38">
        <v>66</v>
      </c>
      <c r="I24" s="38">
        <v>57</v>
      </c>
      <c r="J24" s="38">
        <v>17</v>
      </c>
      <c r="K24" s="38">
        <v>48</v>
      </c>
      <c r="L24" s="38">
        <v>5</v>
      </c>
      <c r="M24" s="38">
        <v>8</v>
      </c>
      <c r="N24" s="38">
        <v>98</v>
      </c>
      <c r="O24" s="38">
        <v>63</v>
      </c>
      <c r="P24" s="38">
        <v>97</v>
      </c>
      <c r="Q24" s="38">
        <v>25</v>
      </c>
      <c r="R24" s="38">
        <v>25</v>
      </c>
      <c r="S24" s="38">
        <v>10</v>
      </c>
      <c r="T24" s="38">
        <v>81</v>
      </c>
      <c r="U24" s="38">
        <v>72</v>
      </c>
      <c r="V24" s="38">
        <v>86</v>
      </c>
      <c r="W24" s="38">
        <v>18</v>
      </c>
      <c r="X24" s="38">
        <v>98</v>
      </c>
      <c r="Y24" s="38">
        <v>84</v>
      </c>
      <c r="Z24" s="38">
        <v>77</v>
      </c>
      <c r="AA24" s="38">
        <v>70</v>
      </c>
      <c r="AB24" s="38">
        <v>79</v>
      </c>
      <c r="AC24" s="38">
        <v>10</v>
      </c>
      <c r="AD24" s="38">
        <v>28</v>
      </c>
      <c r="AE24" s="38">
        <v>48</v>
      </c>
      <c r="AF24" s="38">
        <v>56</v>
      </c>
      <c r="AG24" s="38">
        <v>15</v>
      </c>
      <c r="AH24" s="38">
        <v>56</v>
      </c>
      <c r="AI24" s="38">
        <v>46</v>
      </c>
      <c r="AJ24" s="38">
        <v>28</v>
      </c>
      <c r="AK24" s="38">
        <v>94</v>
      </c>
      <c r="AL24" s="38">
        <v>11</v>
      </c>
      <c r="AM24" s="38">
        <v>84</v>
      </c>
      <c r="AN24" s="38">
        <v>45</v>
      </c>
      <c r="AO24" s="38">
        <v>35</v>
      </c>
      <c r="AP24" s="38">
        <v>77</v>
      </c>
      <c r="AQ24" s="38">
        <v>31</v>
      </c>
      <c r="AR24" s="38">
        <v>13</v>
      </c>
      <c r="AS24" s="38">
        <v>81</v>
      </c>
      <c r="AT24" s="38">
        <v>71</v>
      </c>
      <c r="AU24" s="38">
        <v>51</v>
      </c>
      <c r="AV24" s="38">
        <v>97</v>
      </c>
      <c r="AW24" s="38">
        <v>30</v>
      </c>
      <c r="AX24" s="38">
        <v>30</v>
      </c>
      <c r="AY24" s="38">
        <v>16</v>
      </c>
      <c r="AZ24" s="38">
        <v>77</v>
      </c>
      <c r="BA24" s="38">
        <v>39</v>
      </c>
      <c r="BB24" s="38">
        <v>96</v>
      </c>
      <c r="BC24" s="38">
        <v>88</v>
      </c>
      <c r="BD24" s="38">
        <v>47</v>
      </c>
      <c r="BE24" s="38">
        <v>59</v>
      </c>
      <c r="BF24" s="38">
        <v>29</v>
      </c>
      <c r="BG24" s="38">
        <v>57</v>
      </c>
      <c r="BH24" s="38">
        <v>38</v>
      </c>
      <c r="BI24" s="38">
        <v>89</v>
      </c>
      <c r="BJ24" s="38">
        <v>15</v>
      </c>
      <c r="BK24" s="38">
        <v>7</v>
      </c>
      <c r="BL24" s="38">
        <v>44</v>
      </c>
      <c r="BM24" s="38">
        <v>7</v>
      </c>
      <c r="BN24" s="38">
        <v>4</v>
      </c>
      <c r="BO24" s="38">
        <v>54</v>
      </c>
      <c r="BP24" s="38">
        <v>39</v>
      </c>
      <c r="BQ24" s="38">
        <v>58</v>
      </c>
      <c r="BR24" s="38">
        <v>32</v>
      </c>
      <c r="BS24" s="38">
        <v>10</v>
      </c>
      <c r="BT24" s="38">
        <v>22</v>
      </c>
      <c r="BU24" s="38">
        <v>27</v>
      </c>
      <c r="BV24" s="38">
        <v>13</v>
      </c>
      <c r="BW24" s="38">
        <v>2</v>
      </c>
      <c r="BX24" s="38">
        <v>79</v>
      </c>
      <c r="BY24" s="75">
        <v>13.313167012754198</v>
      </c>
      <c r="BZ24" s="75">
        <v>12.66535440526852</v>
      </c>
      <c r="CA24" s="75">
        <v>16.934190229247847</v>
      </c>
      <c r="CB24" s="75">
        <v>17.858697918978077</v>
      </c>
      <c r="CC24" s="75">
        <v>18.045152078574432</v>
      </c>
      <c r="CD24" s="75">
        <v>14.441006704440433</v>
      </c>
      <c r="CE24" s="75">
        <v>22.963002446046605</v>
      </c>
      <c r="CF24" s="75">
        <v>30.18872262272814</v>
      </c>
      <c r="CG24" s="75">
        <v>30.202025060232394</v>
      </c>
      <c r="CH24" s="75">
        <v>64.034262099663025</v>
      </c>
    </row>
    <row r="25" spans="2:86" x14ac:dyDescent="0.35">
      <c r="B25" s="35" t="s">
        <v>29</v>
      </c>
      <c r="C25" s="39"/>
      <c r="D25" s="39"/>
      <c r="E25" s="39"/>
      <c r="F25" s="39"/>
      <c r="G25" s="39"/>
      <c r="H25" s="39"/>
      <c r="I25" s="39"/>
      <c r="J25" s="39"/>
      <c r="K25" s="39"/>
      <c r="L25" s="39"/>
      <c r="M25" s="39"/>
      <c r="N25" s="39"/>
      <c r="O25" s="148">
        <v>3.5647058823529414</v>
      </c>
      <c r="P25" s="148">
        <v>3.404669260700389</v>
      </c>
      <c r="Q25" s="148">
        <v>4.246636771300448</v>
      </c>
      <c r="R25" s="148">
        <v>4.8071065989847712</v>
      </c>
      <c r="S25" s="148">
        <v>4.908163265306122</v>
      </c>
      <c r="T25" s="148">
        <v>4.0135135135135132</v>
      </c>
      <c r="U25" s="148">
        <v>3.5433070866141732</v>
      </c>
      <c r="V25" s="148">
        <v>3.4745098039215687</v>
      </c>
      <c r="W25" s="148">
        <v>3.9421487603305785</v>
      </c>
      <c r="X25" s="148">
        <v>3.5100401606425704</v>
      </c>
      <c r="Y25" s="148">
        <v>3.2767527675276753</v>
      </c>
      <c r="Z25" s="148">
        <v>3.1184668989547037</v>
      </c>
      <c r="AA25" s="148">
        <v>2.9190938511326863</v>
      </c>
      <c r="AB25" s="148">
        <v>2.6111111111111112</v>
      </c>
      <c r="AC25" s="148">
        <v>2.5052083333333335</v>
      </c>
      <c r="AD25" s="148">
        <v>2.3424317617866004</v>
      </c>
      <c r="AE25" s="148">
        <v>2.3157894736842106</v>
      </c>
      <c r="AF25" s="148">
        <v>2.5095890410958903</v>
      </c>
      <c r="AG25" s="148">
        <v>2.8397626112759644</v>
      </c>
      <c r="AH25" s="148">
        <v>2.7841945288753798</v>
      </c>
      <c r="AI25" s="148">
        <v>2.536986301369863</v>
      </c>
      <c r="AJ25" s="148">
        <v>2.4776902887139109</v>
      </c>
      <c r="AK25" s="148">
        <v>2.3923705722070845</v>
      </c>
      <c r="AL25" s="148">
        <v>2.6114130434782608</v>
      </c>
      <c r="AM25" s="148">
        <v>2.657183826996024</v>
      </c>
      <c r="AN25" s="148">
        <v>3.1780362320840396</v>
      </c>
      <c r="AO25" s="148">
        <v>3.9056927588815893</v>
      </c>
      <c r="AP25" s="148">
        <v>4.3562407535120871</v>
      </c>
      <c r="AQ25" s="148">
        <v>5.3535448981986651</v>
      </c>
      <c r="AR25" s="148">
        <v>5.7310626576621848</v>
      </c>
      <c r="AS25" s="148">
        <v>6.3921174096254365</v>
      </c>
      <c r="AT25" s="148">
        <v>7.687516925819164</v>
      </c>
      <c r="AU25" s="148">
        <v>10.101485720397438</v>
      </c>
      <c r="AV25" s="148">
        <v>11.420379461026334</v>
      </c>
      <c r="AW25" s="148">
        <v>8.7525127143104715</v>
      </c>
      <c r="AX25" s="148">
        <v>4.6911393232961016</v>
      </c>
      <c r="AY25" s="148">
        <v>4.6219187701689517</v>
      </c>
      <c r="AZ25" s="148">
        <v>4.1551305776285812</v>
      </c>
      <c r="BA25" s="148">
        <v>3.9670536905910994</v>
      </c>
      <c r="BB25" s="148">
        <v>3.1080080831677583</v>
      </c>
      <c r="BC25" s="148">
        <v>2.8367888599597464</v>
      </c>
      <c r="BD25" s="148">
        <v>2.6494802323446121</v>
      </c>
      <c r="BE25" s="148">
        <v>2.2194278288985023</v>
      </c>
      <c r="BF25" s="148">
        <v>2.1986249851547806</v>
      </c>
      <c r="BG25" s="148">
        <v>2.0868808508640226</v>
      </c>
      <c r="BH25" s="148">
        <v>2.0054134627651505</v>
      </c>
      <c r="BI25" s="148">
        <v>2.0240357446127435</v>
      </c>
      <c r="BJ25" s="148">
        <v>3.1114577533126253</v>
      </c>
      <c r="BK25" s="148">
        <v>2.8511160901209442</v>
      </c>
      <c r="BL25" s="148">
        <v>2.7748259898518555</v>
      </c>
      <c r="BM25" s="148">
        <v>2.8174054361356391</v>
      </c>
      <c r="BN25" s="148">
        <v>2.8523897594503316</v>
      </c>
      <c r="BO25" s="148">
        <v>2.5331182168026389</v>
      </c>
      <c r="BP25" s="148">
        <v>2.785282834675423</v>
      </c>
      <c r="BQ25" s="148">
        <v>2.6989215179644366</v>
      </c>
      <c r="BR25" s="148">
        <v>2.8004508715023695</v>
      </c>
      <c r="BS25" s="148">
        <v>2.7325367704884589</v>
      </c>
      <c r="BT25" s="148">
        <v>2.5538795610520264</v>
      </c>
      <c r="BU25" s="148">
        <v>2.9423065794098675</v>
      </c>
      <c r="BV25" s="148">
        <v>2.9423529349360762</v>
      </c>
      <c r="BW25" s="148">
        <v>3.3540634729243881</v>
      </c>
      <c r="BX25" s="148">
        <v>3.1409481676151221</v>
      </c>
      <c r="BY25" s="148">
        <v>4.67950058567168</v>
      </c>
      <c r="BZ25" s="148">
        <v>4.7708838128824231</v>
      </c>
      <c r="CA25" s="148">
        <v>4.6939231673526143</v>
      </c>
      <c r="CB25" s="148">
        <v>4.6610751010594234</v>
      </c>
      <c r="CC25" s="148">
        <v>4.534365039993534</v>
      </c>
      <c r="CD25" s="148">
        <v>4.3167269703351421</v>
      </c>
      <c r="CE25" s="148">
        <v>4.1498144357482332</v>
      </c>
      <c r="CF25" s="148">
        <v>3.8152260213850417</v>
      </c>
      <c r="CG25" s="148">
        <v>3.6965547903022977</v>
      </c>
      <c r="CH25" s="148">
        <v>2.0759067805692362</v>
      </c>
    </row>
    <row r="26" spans="2:86" x14ac:dyDescent="0.35">
      <c r="B26" s="35"/>
      <c r="C26" s="39"/>
      <c r="D26" s="39"/>
      <c r="E26" s="39"/>
      <c r="F26" s="39"/>
      <c r="G26" s="39"/>
      <c r="H26" s="39"/>
      <c r="I26" s="39"/>
      <c r="J26" s="39"/>
      <c r="K26" s="39"/>
      <c r="L26" s="39"/>
      <c r="M26" s="39"/>
      <c r="N26" s="39"/>
      <c r="O26" s="148"/>
      <c r="P26" s="148"/>
      <c r="Q26" s="148"/>
      <c r="R26" s="148"/>
      <c r="S26" s="148"/>
      <c r="T26" s="148"/>
      <c r="U26" s="148"/>
      <c r="V26" s="148"/>
      <c r="W26" s="148"/>
      <c r="X26" s="148"/>
      <c r="Y26" s="148"/>
      <c r="Z26" s="148"/>
      <c r="AA26" s="148"/>
      <c r="AB26" s="148"/>
      <c r="AC26" s="148"/>
      <c r="AD26" s="148"/>
      <c r="AE26" s="148"/>
      <c r="AF26" s="148"/>
      <c r="AG26" s="148"/>
      <c r="AH26" s="148"/>
      <c r="AI26" s="148"/>
      <c r="AJ26" s="148"/>
      <c r="AK26" s="148"/>
      <c r="AL26" s="148"/>
      <c r="AM26" s="148"/>
      <c r="AN26" s="148"/>
      <c r="AO26" s="148"/>
      <c r="AP26" s="148"/>
      <c r="AQ26" s="148"/>
      <c r="AR26" s="148"/>
      <c r="AS26" s="148"/>
      <c r="AT26" s="148"/>
      <c r="AU26" s="148"/>
      <c r="AV26" s="148"/>
      <c r="AW26" s="148"/>
      <c r="AX26" s="148"/>
      <c r="AY26" s="148"/>
      <c r="AZ26" s="148"/>
      <c r="BA26" s="148"/>
      <c r="BB26" s="148"/>
      <c r="BC26" s="148"/>
      <c r="BD26" s="148"/>
      <c r="BE26" s="148"/>
      <c r="BF26" s="148"/>
      <c r="BG26" s="148"/>
      <c r="BH26" s="148"/>
      <c r="BI26" s="148"/>
      <c r="BJ26" s="148"/>
      <c r="BK26" s="148"/>
      <c r="BL26" s="148"/>
      <c r="BM26" s="148"/>
      <c r="BN26" s="148"/>
      <c r="BO26" s="148"/>
      <c r="BP26" s="148"/>
      <c r="BQ26" s="148"/>
      <c r="BR26" s="148"/>
      <c r="BS26" s="148"/>
      <c r="BT26" s="148"/>
      <c r="BU26" s="148"/>
      <c r="BV26" s="148"/>
      <c r="BW26" s="148"/>
      <c r="BX26" s="148"/>
      <c r="BY26" s="39"/>
      <c r="BZ26" s="39"/>
      <c r="CA26" s="39"/>
      <c r="CB26" s="39"/>
      <c r="CC26" s="39"/>
      <c r="CD26" s="39"/>
      <c r="CE26" s="39"/>
      <c r="CF26" s="39"/>
      <c r="CG26" s="39"/>
      <c r="CH26" s="39"/>
    </row>
    <row r="27" spans="2:86" x14ac:dyDescent="0.35">
      <c r="B27" s="35"/>
      <c r="C27" s="39"/>
      <c r="D27" s="39"/>
      <c r="E27" s="39"/>
      <c r="F27" s="39"/>
      <c r="G27" s="39"/>
      <c r="H27" s="39"/>
      <c r="I27" s="39"/>
      <c r="J27" s="39"/>
      <c r="K27" s="39"/>
      <c r="L27" s="39"/>
      <c r="M27" s="39"/>
      <c r="N27" s="107"/>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39"/>
      <c r="AZ27" s="39"/>
      <c r="BA27" s="39"/>
      <c r="BB27" s="39"/>
      <c r="BC27" s="39"/>
      <c r="BD27" s="39"/>
      <c r="BE27" s="39"/>
      <c r="BF27" s="39"/>
      <c r="BG27" s="39"/>
      <c r="BH27" s="39"/>
      <c r="BI27" s="39"/>
      <c r="BJ27" s="39"/>
      <c r="BK27" s="39"/>
      <c r="BL27" s="39"/>
      <c r="BM27" s="39"/>
      <c r="BN27" s="39"/>
      <c r="BO27" s="39"/>
      <c r="BP27" s="39"/>
      <c r="BQ27" s="39"/>
      <c r="BR27" s="39"/>
      <c r="BS27" s="39"/>
      <c r="BT27" s="39"/>
      <c r="BU27" s="39"/>
      <c r="BV27" s="39"/>
      <c r="BW27" s="39"/>
      <c r="BX27" s="39"/>
      <c r="BY27" s="39"/>
      <c r="BZ27" s="39"/>
      <c r="CA27" s="39"/>
      <c r="CB27" s="39"/>
      <c r="CC27" s="39"/>
      <c r="CD27" s="39"/>
      <c r="CE27" s="39"/>
      <c r="CF27" s="39"/>
      <c r="CG27" s="39"/>
      <c r="CH27" s="39"/>
    </row>
    <row r="28" spans="2:86" ht="13.15" x14ac:dyDescent="0.4">
      <c r="B28" s="35" t="s">
        <v>84</v>
      </c>
      <c r="C28" s="125" cm="1">
        <f t="array" aca="1" ref="C28" ca="1">_xlfn.IFS(EMG!$I$6=(C$2+2000),C29,(C$2+2000)&lt;EMG!$I$6,EMG_act!C$29)</f>
        <v>7</v>
      </c>
      <c r="D28" s="125" cm="1">
        <f t="array" aca="1" ref="D28" ca="1">_xlfn.IFS(EMG!$I$6=(D$2+2000),D29,(D$2+2000)&lt;EMG!$I$6,EMG_act!D$29)</f>
        <v>6</v>
      </c>
      <c r="E28" s="125" cm="1">
        <f t="array" aca="1" ref="E28" ca="1">_xlfn.IFS(EMG!$I$6=(E$2+2000),E29,(E$2+2000)&lt;EMG!$I$6,EMG_act!E$29)</f>
        <v>37</v>
      </c>
      <c r="F28" s="125" cm="1">
        <f t="array" aca="1" ref="F28" ca="1">_xlfn.IFS(EMG!$I$6=(F$2+2000),F29,(F$2+2000)&lt;EMG!$I$6,EMG_act!F$29)</f>
        <v>45</v>
      </c>
      <c r="G28" s="125" cm="1">
        <f t="array" aca="1" ref="G28" ca="1">_xlfn.IFS(EMG!$I$6=(G$2+2000),G29,(G$2+2000)&lt;EMG!$I$6,EMG_act!G$29)</f>
        <v>28</v>
      </c>
      <c r="H28" s="125" cm="1">
        <f t="array" aca="1" ref="H28" ca="1">_xlfn.IFS(EMG!$I$6=(H$2+2000),H29,(H$2+2000)&lt;EMG!$I$6,EMG_act!H$29)</f>
        <v>16</v>
      </c>
      <c r="I28" s="125" cm="1">
        <f t="array" aca="1" ref="I28" ca="1">_xlfn.IFS(EMG!$I$6=(I$2+2000),I29,(I$2+2000)&lt;EMG!$I$6,EMG_act!I$29)</f>
        <v>17</v>
      </c>
      <c r="J28" s="125" cm="1">
        <f t="array" aca="1" ref="J28" ca="1">_xlfn.IFS(EMG!$I$6=(J$2+2000),J29,(J$2+2000)&lt;EMG!$I$6,EMG_act!J$29)</f>
        <v>35</v>
      </c>
      <c r="K28" s="125" cm="1">
        <f t="array" aca="1" ref="K28" ca="1">_xlfn.IFS(EMG!$I$6=(K$2+2000),K29,(K$2+2000)&lt;EMG!$I$6,EMG_act!K$29)</f>
        <v>16</v>
      </c>
      <c r="L28" s="125" cm="1">
        <f t="array" aca="1" ref="L28" ca="1">_xlfn.IFS(EMG!$I$6=(L$2+2000),L29,(L$2+2000)&lt;EMG!$I$6,EMG_act!L$29)</f>
        <v>12</v>
      </c>
      <c r="M28" s="125" cm="1">
        <f t="array" aca="1" ref="M28" ca="1">_xlfn.IFS(EMG!$I$6=(M$2+2000),M29,(M$2+2000)&lt;EMG!$I$6,EMG_act!M$29)</f>
        <v>10</v>
      </c>
      <c r="N28" s="125" cm="1">
        <f t="array" aca="1" ref="N28" ca="1">_xlfn.IFS(EMG!$I$6=(N$2+2000),N29,(N$2+2000)&lt;EMG!$I$6,EMG_act!N$29)</f>
        <v>21</v>
      </c>
      <c r="O28" s="125" cm="1">
        <f t="array" aca="1" ref="O28" ca="1">_xlfn.IFS(EMG!$I$6=(O$2+2000),O29,(O$2+2000)&lt;EMG!$I$6,EMG_act!O$29)</f>
        <v>12</v>
      </c>
      <c r="P28" s="125" cm="1">
        <f t="array" aca="1" ref="P28" ca="1">_xlfn.IFS(EMG!$I$6=(P$2+2000),P29,(P$2+2000)&lt;EMG!$I$6,EMG_act!P$29)</f>
        <v>8</v>
      </c>
      <c r="Q28" s="125" cm="1">
        <f t="array" aca="1" ref="Q28" ca="1">_xlfn.IFS(EMG!$I$6=(Q$2+2000),Q29,(Q$2+2000)&lt;EMG!$I$6,EMG_act!Q$29)</f>
        <v>3</v>
      </c>
      <c r="R28" s="125" cm="1">
        <f t="array" aca="1" ref="R28" ca="1">_xlfn.IFS(EMG!$I$6=(R$2+2000),R29,(R$2+2000)&lt;EMG!$I$6,EMG_act!R$29)</f>
        <v>19</v>
      </c>
      <c r="S28" s="125" cm="1">
        <f t="array" aca="1" ref="S28" ca="1">_xlfn.IFS(EMG!$I$6=(S$2+2000),S29,(S$2+2000)&lt;EMG!$I$6,EMG_act!S$29)</f>
        <v>27</v>
      </c>
      <c r="T28" s="125" cm="1">
        <f t="array" aca="1" ref="T28" ca="1">_xlfn.IFS(EMG!$I$6=(T$2+2000),T29,(T$2+2000)&lt;EMG!$I$6,EMG_act!T$29)</f>
        <v>42</v>
      </c>
      <c r="U28" s="125" cm="1">
        <f t="array" aca="1" ref="U28" ca="1">_xlfn.IFS(EMG!$I$6=(U$2+2000),U29,(U$2+2000)&lt;EMG!$I$6,EMG_act!U$29)</f>
        <v>49</v>
      </c>
      <c r="V28" s="125" cm="1">
        <f t="array" aca="1" ref="V28" ca="1">_xlfn.IFS(EMG!$I$6=(V$2+2000),V29,(V$2+2000)&lt;EMG!$I$6,EMG_act!V$29)</f>
        <v>36</v>
      </c>
      <c r="W28" s="125" cm="1">
        <f t="array" aca="1" ref="W28" ca="1">_xlfn.IFS(EMG!$I$6=(W$2+2000),W29,(W$2+2000)&lt;EMG!$I$6,EMG_act!W$29)</f>
        <v>3</v>
      </c>
      <c r="X28" s="125" cm="1">
        <f t="array" aca="1" ref="X28" ca="1">_xlfn.IFS(EMG!$I$6=(X$2+2000),X29,(X$2+2000)&lt;EMG!$I$6,EMG_act!X$29)</f>
        <v>19</v>
      </c>
      <c r="Y28" s="125" cm="1">
        <f t="array" aca="1" ref="Y28" ca="1">_xlfn.IFS(EMG!$I$6=(Y$2+2000),Y29,(Y$2+2000)&lt;EMG!$I$6,EMG_act!Y$29)</f>
        <v>32</v>
      </c>
      <c r="Z28" s="125" cm="1">
        <f t="array" aca="1" ref="Z28" ca="1">_xlfn.IFS(EMG!$I$6=(Z$2+2000),Z29,(Z$2+2000)&lt;EMG!$I$6,EMG_act!Z$29)</f>
        <v>37</v>
      </c>
      <c r="AA28" s="125" cm="1">
        <f t="array" aca="1" ref="AA28" ca="1">_xlfn.IFS(EMG!$I$6=(AA$2+2000),AA29,(AA$2+2000)&lt;EMG!$I$6,EMG_act!AA$29)</f>
        <v>34</v>
      </c>
      <c r="AB28" s="125" cm="1">
        <f t="array" aca="1" ref="AB28" ca="1">_xlfn.IFS(EMG!$I$6=(AB$2+2000),AB29,(AB$2+2000)&lt;EMG!$I$6,EMG_act!AB$29)</f>
        <v>41</v>
      </c>
      <c r="AC28" s="125" cm="1">
        <f t="array" aca="1" ref="AC28" ca="1">_xlfn.IFS(EMG!$I$6=(AC$2+2000),AC29,(AC$2+2000)&lt;EMG!$I$6,EMG_act!AC$29)</f>
        <v>45</v>
      </c>
      <c r="AD28" s="125" cm="1">
        <f t="array" aca="1" ref="AD28" ca="1">_xlfn.IFS(EMG!$I$6=(AD$2+2000),AD29,(AD$2+2000)&lt;EMG!$I$6,EMG_act!AD$29)</f>
        <v>38</v>
      </c>
      <c r="AE28" s="125" cm="1">
        <f t="array" aca="1" ref="AE28" ca="1">_xlfn.IFS(EMG!$I$6=(AE$2+2000),AE29,(AE$2+2000)&lt;EMG!$I$6,EMG_act!AE$29)</f>
        <v>23</v>
      </c>
      <c r="AF28" s="125" cm="1">
        <f t="array" aca="1" ref="AF28" ca="1">_xlfn.IFS(EMG!$I$6=(AF$2+2000),AF29,(AF$2+2000)&lt;EMG!$I$6,EMG_act!AF$29)</f>
        <v>8</v>
      </c>
      <c r="AG28" s="125" cm="1">
        <f t="array" aca="1" ref="AG28" ca="1">_xlfn.IFS(EMG!$I$6=(AG$2+2000),AG29,(AG$2+2000)&lt;EMG!$I$6,EMG_act!AG$29)</f>
        <v>21</v>
      </c>
      <c r="AH28" s="125" cm="1">
        <f t="array" aca="1" ref="AH28" ca="1">_xlfn.IFS(EMG!$I$6=(AH$2+2000),AH29,(AH$2+2000)&lt;EMG!$I$6,EMG_act!AH$29)</f>
        <v>28</v>
      </c>
      <c r="AI28" s="125" cm="1">
        <f t="array" aca="1" ref="AI28" ca="1">_xlfn.IFS(EMG!$I$6=(AI$2+2000),AI29,(AI$2+2000)&lt;EMG!$I$6,EMG_act!AI$29)</f>
        <v>39</v>
      </c>
      <c r="AJ28" s="125" cm="1">
        <f t="array" aca="1" ref="AJ28" ca="1">_xlfn.IFS(EMG!$I$6=(AJ$2+2000),AJ29,(AJ$2+2000)&lt;EMG!$I$6,EMG_act!AJ$29)</f>
        <v>35</v>
      </c>
      <c r="AK28" s="125" cm="1">
        <f t="array" aca="1" ref="AK28" ca="1">_xlfn.IFS(EMG!$I$6=(AK$2+2000),AK29,(AK$2+2000)&lt;EMG!$I$6,EMG_act!AK$29)</f>
        <v>18</v>
      </c>
      <c r="AL28" s="125" cm="1">
        <f t="array" aca="1" ref="AL28" ca="1">_xlfn.IFS(EMG!$I$6=(AL$2+2000),AL29,(AL$2+2000)&lt;EMG!$I$6,EMG_act!AL$29)</f>
        <v>38</v>
      </c>
      <c r="AM28" s="125" cm="1">
        <f t="array" aca="1" ref="AM28" ca="1">_xlfn.IFS(EMG!$I$6=(AM$2+2000),AM29,(AM$2+2000)&lt;EMG!$I$6,EMG_act!AM$29)</f>
        <v>0.18839561578019026</v>
      </c>
      <c r="AN28" s="125" cm="1">
        <f t="array" aca="1" ref="AN28" ca="1">_xlfn.IFS(EMG!$I$6=(AN$2+2000),AN29,(AN$2+2000)&lt;EMG!$I$6,EMG_act!AN$29)</f>
        <v>-1.4988325323198568</v>
      </c>
      <c r="AO28" s="125" cm="1">
        <f t="array" aca="1" ref="AO28" ca="1">_xlfn.IFS(EMG!$I$6=(AO$2+2000),AO29,(AO$2+2000)&lt;EMG!$I$6,EMG_act!AO$29)</f>
        <v>-6.7833395667099801</v>
      </c>
      <c r="AP28" s="125" cm="1">
        <f t="array" aca="1" ref="AP28" ca="1">_xlfn.IFS(EMG!$I$6=(AP$2+2000),AP29,(AP$2+2000)&lt;EMG!$I$6,EMG_act!AP$29)</f>
        <v>3.5461494446001498</v>
      </c>
      <c r="AQ28" s="125" cm="1">
        <f t="array" aca="1" ref="AQ28" ca="1">_xlfn.IFS(EMG!$I$6=(AQ$2+2000),AQ29,(AQ$2+2000)&lt;EMG!$I$6,EMG_act!AQ$29)</f>
        <v>-6.6809882258599975</v>
      </c>
      <c r="AR28" s="125" cm="1">
        <f t="array" aca="1" ref="AR28" ca="1">_xlfn.IFS(EMG!$I$6=(AR$2+2000),AR29,(AR$2+2000)&lt;EMG!$I$6,EMG_act!AR$29)</f>
        <v>-0.43767067848957453</v>
      </c>
      <c r="AS28" s="125" cm="1">
        <f t="array" aca="1" ref="AS28" ca="1">_xlfn.IFS(EMG!$I$6=(AS$2+2000),AS29,(AS$2+2000)&lt;EMG!$I$6,EMG_act!AS$29)</f>
        <v>-6.9432831712499539</v>
      </c>
      <c r="AT28" s="125" cm="1">
        <f t="array" aca="1" ref="AT28" ca="1">_xlfn.IFS(EMG!$I$6=(AT$2+2000),AT29,(AT$2+2000)&lt;EMG!$I$6,EMG_act!AT$29)</f>
        <v>5.8125630971196891</v>
      </c>
      <c r="AU28" s="125" cm="1">
        <f t="array" aca="1" ref="AU28" ca="1">_xlfn.IFS(EMG!$I$6=(AU$2+2000),AU29,(AU$2+2000)&lt;EMG!$I$6,EMG_act!AU$29)</f>
        <v>12.971712935763033</v>
      </c>
      <c r="AV28" s="125" cm="1">
        <f t="array" aca="1" ref="AV28" ca="1">_xlfn.IFS(EMG!$I$6=(AV$2+2000),AV29,(AV$2+2000)&lt;EMG!$I$6,EMG_act!AV$29)</f>
        <v>20.442712229833454</v>
      </c>
      <c r="AW28" s="125" cm="1">
        <f t="array" aca="1" ref="AW28" ca="1">_xlfn.IFS(EMG!$I$6=(AW$2+2000),AW29,(AW$2+2000)&lt;EMG!$I$6,EMG_act!AW$29)</f>
        <v>49.008816967684716</v>
      </c>
      <c r="AX28" s="125" cm="1">
        <f t="array" aca="1" ref="AX28" ca="1">_xlfn.IFS(EMG!$I$6=(AX$2+2000),AX29,(AX$2+2000)&lt;EMG!$I$6,EMG_act!AX$29)</f>
        <v>131.17786179713062</v>
      </c>
      <c r="AY28" s="125" cm="1">
        <f t="array" aca="1" ref="AY28" ca="1">_xlfn.IFS(EMG!$I$6=(AY$2+2000),AY29,(AY$2+2000)&lt;EMG!$I$6,EMG_act!AY$29)</f>
        <v>6.2248000000000001</v>
      </c>
      <c r="AZ28" s="125" cm="1">
        <f t="array" aca="1" ref="AZ28" ca="1">_xlfn.IFS(EMG!$I$6=(AZ$2+2000),AZ29,(AZ$2+2000)&lt;EMG!$I$6,EMG_act!AZ$29)</f>
        <v>7.0570247500000001</v>
      </c>
      <c r="BA28" s="125" cm="1">
        <f t="array" aca="1" ref="BA28" ca="1">_xlfn.IFS(EMG!$I$6=(BA$2+2000),BA29,(BA$2+2000)&lt;EMG!$I$6,EMG_act!BA$29)</f>
        <v>13.007437899999999</v>
      </c>
      <c r="BB28" s="125" cm="1">
        <f t="array" aca="1" ref="BB28" ca="1">_xlfn.IFS(EMG!$I$6=(BB$2+2000),BB29,(BB$2+2000)&lt;EMG!$I$6,EMG_act!BB$29)</f>
        <v>50.21156122</v>
      </c>
      <c r="BC28" s="125" cm="1">
        <f t="array" aca="1" ref="BC28" ca="1">_xlfn.IFS(EMG!$I$6=(BC$2+2000),BC29,(BC$2+2000)&lt;EMG!$I$6,EMG_act!BC$29)</f>
        <v>23.086411999999999</v>
      </c>
      <c r="BD28" s="125" cm="1">
        <f t="array" aca="1" ref="BD28" ca="1">_xlfn.IFS(EMG!$I$6=(BD$2+2000),BD29,(BD$2+2000)&lt;EMG!$I$6,EMG_act!BD$29)</f>
        <v>37.067461000000002</v>
      </c>
      <c r="BE28" s="125" cm="1">
        <f t="array" aca="1" ref="BE28" ca="1">_xlfn.IFS(EMG!$I$6=(BE$2+2000),BE29,(BE$2+2000)&lt;EMG!$I$6,EMG_act!BE$29)</f>
        <v>55.298921</v>
      </c>
      <c r="BF28" s="125" cm="1">
        <f t="array" aca="1" ref="BF28" ca="1">_xlfn.IFS(EMG!$I$6=(BF$2+2000),BF29,(BF$2+2000)&lt;EMG!$I$6,EMG_act!BF$29)</f>
        <v>23.349710000000002</v>
      </c>
      <c r="BG28" s="125" cm="1">
        <f t="array" aca="1" ref="BG28" ca="1">_xlfn.IFS(EMG!$I$6=(BG$2+2000),BG29,(BG$2+2000)&lt;EMG!$I$6,EMG_act!BG$29)</f>
        <v>22.520679000000001</v>
      </c>
      <c r="BH28" s="125" cm="1">
        <f t="array" aca="1" ref="BH28" ca="1">_xlfn.IFS(EMG!$I$6=(BH$2+2000),BH29,(BH$2+2000)&lt;EMG!$I$6,EMG_act!BH$29)</f>
        <v>47.728682999999997</v>
      </c>
      <c r="BI28" s="125" cm="1">
        <f t="array" aca="1" ref="BI28" ca="1">_xlfn.IFS(EMG!$I$6=(BI$2+2000),BI29,(BI$2+2000)&lt;EMG!$I$6,EMG_act!BI$29)</f>
        <v>19.526565999999999</v>
      </c>
      <c r="BJ28" s="125" cm="1">
        <f t="array" aca="1" ref="BJ28" ca="1">_xlfn.IFS(EMG!$I$6=(BJ$2+2000),BJ29,(BJ$2+2000)&lt;EMG!$I$6,EMG_act!BJ$29)</f>
        <v>2.493617</v>
      </c>
      <c r="BK28" s="125" cm="1">
        <f t="array" aca="1" ref="BK28" ca="1">_xlfn.IFS(EMG!$I$6=(BK$2+2000),BK29,(BK$2+2000)&lt;EMG!$I$6,EMG_act!BK$29)</f>
        <v>37.115872299999999</v>
      </c>
      <c r="BL28" s="125" cm="1">
        <f t="array" aca="1" ref="BL28" ca="1">_xlfn.IFS(EMG!$I$6=(BL$2+2000),BL29,(BL$2+2000)&lt;EMG!$I$6,EMG_act!BL$29)</f>
        <v>3.0284652200000002</v>
      </c>
      <c r="BM28" s="125" cm="1">
        <f t="array" aca="1" ref="BM28" ca="1">_xlfn.IFS(EMG!$I$6=(BM$2+2000),BM29,(BM$2+2000)&lt;EMG!$I$6,EMG_act!BM$29)</f>
        <v>21.085766339999999</v>
      </c>
      <c r="BN28" s="125" cm="1">
        <f t="array" aca="1" ref="BN28" ca="1">_xlfn.IFS(EMG!$I$6=(BN$2+2000),BN29,(BN$2+2000)&lt;EMG!$I$6,EMG_act!BN$29)</f>
        <v>47.062408660000003</v>
      </c>
      <c r="BO28" s="125" cm="1">
        <f t="array" aca="1" ref="BO28" ca="1">_xlfn.IFS(EMG!$I$6=(BO$2+2000),BO29,(BO$2+2000)&lt;EMG!$I$6,EMG_act!BO$29)</f>
        <v>46.121044449999999</v>
      </c>
      <c r="BP28" s="125" cm="1">
        <f t="array" aca="1" ref="BP28" ca="1">_xlfn.IFS(EMG!$I$6=(BP$2+2000),BP29,(BP$2+2000)&lt;EMG!$I$6,EMG_act!BP$29)</f>
        <v>27.317432360000002</v>
      </c>
      <c r="BQ28" s="125" cm="1">
        <f t="array" aca="1" ref="BQ28" ca="1">_xlfn.IFS(EMG!$I$6=(BQ$2+2000),BQ29,(BQ$2+2000)&lt;EMG!$I$6,EMG_act!BQ$29)</f>
        <v>0.17191128</v>
      </c>
      <c r="BR28" s="125" cm="1">
        <f t="array" aca="1" ref="BR28" ca="1">_xlfn.IFS(EMG!$I$6=(BR$2+2000),BR29,(BR$2+2000)&lt;EMG!$I$6,EMG_act!BR$29)</f>
        <v>47.316747890000002</v>
      </c>
      <c r="BS28" s="125" cm="1">
        <f t="array" aca="1" ref="BS28" ca="1">_xlfn.IFS(EMG!$I$6=(BS$2+2000),BS29,(BS$2+2000)&lt;EMG!$I$6,EMG_act!BS$29)</f>
        <v>6.06090777</v>
      </c>
      <c r="BT28" s="125" cm="1">
        <f t="array" aca="1" ref="BT28" ca="1">_xlfn.IFS(EMG!$I$6=(BT$2+2000),BT29,(BT$2+2000)&lt;EMG!$I$6,EMG_act!BT$29)</f>
        <v>39.28408194</v>
      </c>
      <c r="BU28" s="125" cm="1">
        <f t="array" aca="1" ref="BU28" ca="1">_xlfn.IFS(EMG!$I$6=(BU$2+2000),BU29,(BU$2+2000)&lt;EMG!$I$6,EMG_act!BU$29)</f>
        <v>44.118336859999999</v>
      </c>
      <c r="BV28" s="125" cm="1">
        <f t="array" aca="1" ref="BV28" ca="1">_xlfn.IFS(EMG!$I$6=(BV$2+2000),BV29,(BV$2+2000)&lt;EMG!$I$6,EMG_act!BV$29)</f>
        <v>7.24665377</v>
      </c>
      <c r="BW28" s="125" cm="1">
        <f t="array" aca="1" ref="BW28" ca="1">_xlfn.IFS(EMG!$I$6=(BW$2+2000),BW29,(BW$2+2000)&lt;EMG!$I$6,EMG_act!BW$29)</f>
        <v>19</v>
      </c>
      <c r="BX28" s="125" cm="1">
        <f t="array" aca="1" ref="BX28" ca="1">_xlfn.IFS(EMG!$I$6=(BX$2+2000),BX29,(BX$2+2000)&lt;EMG!$I$6,EMG_act!BX$29)</f>
        <v>41</v>
      </c>
      <c r="BY28" s="125" cm="1">
        <f t="array" aca="1" ref="BY28" ca="1">_xlfn.IFS(EMG!$I$6=(BY$2+2000),BY29,(BY$2+2000)&lt;EMG!$I$6,EMG_act!BY$29)</f>
        <v>-9.0653369931077954</v>
      </c>
      <c r="BZ28" s="125" cm="1">
        <f t="array" aca="1" ref="BZ28" ca="1">_xlfn.IFS(EMG!$I$6=(BZ$2+2000),BZ29,(BZ$2+2000)&lt;EMG!$I$6,EMG_act!BZ$29)</f>
        <v>3.6284588306449188</v>
      </c>
      <c r="CA28" s="125" cm="1">
        <f t="array" aca="1" ref="CA28" ca="1">_xlfn.IFS(EMG!$I$6=(CA$2+2000),CA29,(CA$2+2000)&lt;EMG!$I$6,EMG_act!CA$29)</f>
        <v>9.5785192092292117</v>
      </c>
      <c r="CB28" s="125" cm="1">
        <f t="array" aca="1" ref="CB28" ca="1">_xlfn.IFS(EMG!$I$6=(CB$2+2000),CB29,(CB$2+2000)&lt;EMG!$I$6,EMG_act!CB$29)</f>
        <v>12.333320791995151</v>
      </c>
      <c r="CC28" s="125" cm="1">
        <f t="array" aca="1" ref="CC28" ca="1">_xlfn.IFS(EMG!$I$6=(CC$2+2000),CC29,(CC$2+2000)&lt;EMG!$I$6,EMG_act!CC$29)</f>
        <v>8.7388396620793998</v>
      </c>
      <c r="CD28" s="125" cm="1">
        <f t="array" aca="1" ref="CD28" ca="1">_xlfn.IFS(EMG!$I$6=(CD$2+2000),CD29,(CD$2+2000)&lt;EMG!$I$6,EMG_act!CD$29)</f>
        <v>27.809397798227256</v>
      </c>
      <c r="CE28" s="125" cm="1">
        <f t="array" aca="1" ref="CE28" ca="1">_xlfn.IFS(EMG!$I$6=(CE$2+2000),CE29,(CE$2+2000)&lt;EMG!$I$6,EMG_act!CE$29)</f>
        <v>39.419514721136288</v>
      </c>
      <c r="CF28" s="125" cm="1">
        <f t="array" aca="1" ref="CF28" ca="1">_xlfn.IFS(EMG!$I$6=(CF$2+2000),CF29,(CF$2+2000)&lt;EMG!$I$6,EMG_act!CF$29)</f>
        <v>42.414286111406149</v>
      </c>
      <c r="CG28" s="125" cm="1">
        <f t="array" aca="1" ref="CG28" ca="1">_xlfn.IFS(EMG!$I$6=(CG$2+2000),CG29,(CG$2+2000)&lt;EMG!$I$6,EMG_act!CG$29)</f>
        <v>74.804308616700652</v>
      </c>
      <c r="CH28" s="125" cm="1">
        <f t="array" aca="1" ref="CH28" ca="1">_xlfn.IFS(EMG!$I$6=(CH$2+2000),CH29,(CH$2+2000)&lt;EMG!$I$6,EMG_act!CH$29)</f>
        <v>186.54848339280971</v>
      </c>
    </row>
    <row r="29" spans="2:86" ht="13.15" collapsed="1" x14ac:dyDescent="0.4">
      <c r="B29" s="124" t="s">
        <v>85</v>
      </c>
      <c r="C29" s="125">
        <f t="shared" ref="C29:AH29" si="66">C19-C68</f>
        <v>7</v>
      </c>
      <c r="D29" s="125">
        <f t="shared" si="66"/>
        <v>6</v>
      </c>
      <c r="E29" s="125">
        <f t="shared" si="66"/>
        <v>37</v>
      </c>
      <c r="F29" s="125">
        <f t="shared" si="66"/>
        <v>45</v>
      </c>
      <c r="G29" s="125">
        <f t="shared" si="66"/>
        <v>28</v>
      </c>
      <c r="H29" s="125">
        <f t="shared" si="66"/>
        <v>16</v>
      </c>
      <c r="I29" s="125">
        <f t="shared" si="66"/>
        <v>17</v>
      </c>
      <c r="J29" s="125">
        <f t="shared" si="66"/>
        <v>35</v>
      </c>
      <c r="K29" s="125">
        <f t="shared" si="66"/>
        <v>16</v>
      </c>
      <c r="L29" s="125">
        <f t="shared" si="66"/>
        <v>12</v>
      </c>
      <c r="M29" s="125">
        <f t="shared" si="66"/>
        <v>10</v>
      </c>
      <c r="N29" s="125">
        <f t="shared" si="66"/>
        <v>21</v>
      </c>
      <c r="O29" s="125">
        <f t="shared" si="66"/>
        <v>12</v>
      </c>
      <c r="P29" s="125">
        <f t="shared" si="66"/>
        <v>8</v>
      </c>
      <c r="Q29" s="125">
        <f t="shared" si="66"/>
        <v>3</v>
      </c>
      <c r="R29" s="125">
        <f t="shared" si="66"/>
        <v>19</v>
      </c>
      <c r="S29" s="125">
        <f t="shared" si="66"/>
        <v>27</v>
      </c>
      <c r="T29" s="125">
        <f t="shared" si="66"/>
        <v>42</v>
      </c>
      <c r="U29" s="125">
        <f t="shared" si="66"/>
        <v>49</v>
      </c>
      <c r="V29" s="125">
        <f t="shared" si="66"/>
        <v>36</v>
      </c>
      <c r="W29" s="125">
        <f t="shared" si="66"/>
        <v>3</v>
      </c>
      <c r="X29" s="125">
        <f t="shared" si="66"/>
        <v>19</v>
      </c>
      <c r="Y29" s="125">
        <f t="shared" si="66"/>
        <v>32</v>
      </c>
      <c r="Z29" s="125">
        <f t="shared" si="66"/>
        <v>37</v>
      </c>
      <c r="AA29" s="125">
        <f t="shared" si="66"/>
        <v>34</v>
      </c>
      <c r="AB29" s="125">
        <f t="shared" si="66"/>
        <v>41</v>
      </c>
      <c r="AC29" s="125">
        <f t="shared" si="66"/>
        <v>45</v>
      </c>
      <c r="AD29" s="125">
        <f t="shared" si="66"/>
        <v>38</v>
      </c>
      <c r="AE29" s="125">
        <f t="shared" si="66"/>
        <v>23</v>
      </c>
      <c r="AF29" s="125">
        <f t="shared" si="66"/>
        <v>8</v>
      </c>
      <c r="AG29" s="125">
        <f t="shared" si="66"/>
        <v>21</v>
      </c>
      <c r="AH29" s="125">
        <f t="shared" si="66"/>
        <v>28</v>
      </c>
      <c r="AI29" s="125">
        <f t="shared" ref="AI29:BJ29" si="67">AI19-AI68</f>
        <v>39</v>
      </c>
      <c r="AJ29" s="125">
        <f t="shared" si="67"/>
        <v>35</v>
      </c>
      <c r="AK29" s="125">
        <f t="shared" si="67"/>
        <v>18</v>
      </c>
      <c r="AL29" s="125">
        <f t="shared" si="67"/>
        <v>38</v>
      </c>
      <c r="AM29" s="125">
        <f t="shared" si="67"/>
        <v>40.803673892857141</v>
      </c>
      <c r="AN29" s="125">
        <f t="shared" si="67"/>
        <v>36.153973892857145</v>
      </c>
      <c r="AO29" s="125">
        <f t="shared" si="67"/>
        <v>20.799069892857144</v>
      </c>
      <c r="AP29" s="125">
        <f t="shared" si="67"/>
        <v>46.286223892857144</v>
      </c>
      <c r="AQ29" s="125">
        <f t="shared" si="67"/>
        <v>8.6814738928571433</v>
      </c>
      <c r="AR29" s="125">
        <f t="shared" si="67"/>
        <v>27.777473892857142</v>
      </c>
      <c r="AS29" s="125">
        <f t="shared" si="67"/>
        <v>5.050523892857143</v>
      </c>
      <c r="AT29" s="125">
        <f t="shared" si="67"/>
        <v>43.460540918857141</v>
      </c>
      <c r="AU29" s="125">
        <f t="shared" si="67"/>
        <v>48.20347389285714</v>
      </c>
      <c r="AV29" s="125">
        <f t="shared" si="67"/>
        <v>26.425973892857144</v>
      </c>
      <c r="AW29" s="125">
        <f t="shared" si="67"/>
        <v>9.8094738928571417</v>
      </c>
      <c r="AX29" s="125">
        <f t="shared" si="67"/>
        <v>37.804973892857141</v>
      </c>
      <c r="AY29" s="125">
        <f t="shared" si="67"/>
        <v>6.6072760000000006</v>
      </c>
      <c r="AZ29" s="125">
        <f t="shared" si="67"/>
        <v>11.521885000000001</v>
      </c>
      <c r="BA29" s="125">
        <f t="shared" si="67"/>
        <v>13.393895000000001</v>
      </c>
      <c r="BB29" s="125">
        <f t="shared" si="67"/>
        <v>48.101895999999996</v>
      </c>
      <c r="BC29" s="125">
        <f t="shared" si="67"/>
        <v>19.865794364353192</v>
      </c>
      <c r="BD29" s="125">
        <f t="shared" si="67"/>
        <v>34.342112399999998</v>
      </c>
      <c r="BE29" s="125">
        <f t="shared" si="67"/>
        <v>47.116926999999997</v>
      </c>
      <c r="BF29" s="125">
        <f t="shared" si="67"/>
        <v>22</v>
      </c>
      <c r="BG29" s="125">
        <f t="shared" si="67"/>
        <v>20.04683</v>
      </c>
      <c r="BH29" s="125">
        <f t="shared" si="67"/>
        <v>51.5</v>
      </c>
      <c r="BI29" s="125">
        <f t="shared" si="67"/>
        <v>21</v>
      </c>
      <c r="BJ29" s="125">
        <f t="shared" si="67"/>
        <v>1.105</v>
      </c>
      <c r="BK29" s="125">
        <f t="shared" ref="BK29:CH29" si="68">BK19-BK68</f>
        <v>37</v>
      </c>
      <c r="BL29" s="125">
        <f t="shared" si="68"/>
        <v>3</v>
      </c>
      <c r="BM29" s="125">
        <f t="shared" si="68"/>
        <v>21</v>
      </c>
      <c r="BN29" s="125">
        <f t="shared" si="68"/>
        <v>47</v>
      </c>
      <c r="BO29" s="125">
        <f t="shared" si="68"/>
        <v>46</v>
      </c>
      <c r="BP29" s="125">
        <f t="shared" si="68"/>
        <v>27</v>
      </c>
      <c r="BQ29" s="125">
        <f t="shared" si="68"/>
        <v>0</v>
      </c>
      <c r="BR29" s="125">
        <f t="shared" si="68"/>
        <v>47</v>
      </c>
      <c r="BS29" s="125">
        <f t="shared" si="68"/>
        <v>4</v>
      </c>
      <c r="BT29" s="125">
        <f t="shared" si="68"/>
        <v>38</v>
      </c>
      <c r="BU29" s="125">
        <f t="shared" si="68"/>
        <v>40</v>
      </c>
      <c r="BV29" s="125">
        <f t="shared" si="68"/>
        <v>2</v>
      </c>
      <c r="BW29" s="125">
        <f t="shared" si="68"/>
        <v>19</v>
      </c>
      <c r="BX29" s="125">
        <f t="shared" si="68"/>
        <v>41</v>
      </c>
      <c r="BY29" s="125">
        <f t="shared" si="68"/>
        <v>-9.0653369931077954</v>
      </c>
      <c r="BZ29" s="125">
        <f t="shared" si="68"/>
        <v>3.6284588306449188</v>
      </c>
      <c r="CA29" s="125">
        <f t="shared" si="68"/>
        <v>9.5785192092292117</v>
      </c>
      <c r="CB29" s="125">
        <f t="shared" si="68"/>
        <v>12.333320791995151</v>
      </c>
      <c r="CC29" s="125">
        <f t="shared" si="68"/>
        <v>8.7388396620793998</v>
      </c>
      <c r="CD29" s="125">
        <f t="shared" si="68"/>
        <v>27.809397798227256</v>
      </c>
      <c r="CE29" s="125">
        <f t="shared" si="68"/>
        <v>39.419514721136288</v>
      </c>
      <c r="CF29" s="125">
        <f t="shared" si="68"/>
        <v>42.414286111406149</v>
      </c>
      <c r="CG29" s="125">
        <f t="shared" si="68"/>
        <v>74.804308616700652</v>
      </c>
      <c r="CH29" s="125">
        <f t="shared" si="68"/>
        <v>186.54848339280971</v>
      </c>
    </row>
    <row r="30" spans="2:86" hidden="1" outlineLevel="1" x14ac:dyDescent="0.35"/>
    <row r="31" spans="2:86" hidden="1" outlineLevel="1" x14ac:dyDescent="0.35"/>
    <row r="32" spans="2:86" hidden="1" outlineLevel="1" x14ac:dyDescent="0.35"/>
    <row r="33" spans="2:74" ht="13.15" hidden="1" outlineLevel="1" x14ac:dyDescent="0.4">
      <c r="B33" s="40" t="s">
        <v>61</v>
      </c>
    </row>
    <row r="34" spans="2:74" hidden="1" outlineLevel="1" x14ac:dyDescent="0.35">
      <c r="B34" s="21" t="s">
        <v>62</v>
      </c>
      <c r="C34" s="41">
        <v>0</v>
      </c>
      <c r="D34" s="41">
        <v>0</v>
      </c>
      <c r="E34" s="41">
        <v>0</v>
      </c>
      <c r="F34" s="41">
        <v>0</v>
      </c>
      <c r="G34" s="41">
        <v>0</v>
      </c>
      <c r="H34" s="41">
        <v>0</v>
      </c>
      <c r="I34" s="41">
        <v>0</v>
      </c>
      <c r="J34" s="41">
        <v>0</v>
      </c>
      <c r="K34" s="41">
        <v>0</v>
      </c>
      <c r="L34" s="41">
        <v>0</v>
      </c>
      <c r="M34" s="41">
        <v>0</v>
      </c>
      <c r="N34" s="41">
        <v>0</v>
      </c>
      <c r="O34" s="41">
        <v>0</v>
      </c>
      <c r="P34" s="41">
        <v>0</v>
      </c>
      <c r="Q34" s="41">
        <v>0</v>
      </c>
      <c r="R34" s="41">
        <v>0</v>
      </c>
      <c r="S34" s="41">
        <v>0</v>
      </c>
      <c r="T34" s="41">
        <v>0</v>
      </c>
      <c r="U34" s="41">
        <v>0</v>
      </c>
      <c r="V34" s="41">
        <v>0</v>
      </c>
      <c r="W34" s="41">
        <v>0</v>
      </c>
      <c r="X34" s="41">
        <v>0</v>
      </c>
      <c r="Y34" s="41">
        <v>0</v>
      </c>
      <c r="Z34" s="41">
        <v>0</v>
      </c>
      <c r="AA34" s="41">
        <v>0</v>
      </c>
      <c r="AB34" s="41">
        <v>0</v>
      </c>
      <c r="AC34" s="41">
        <v>0</v>
      </c>
      <c r="AD34" s="41">
        <v>0</v>
      </c>
      <c r="AE34" s="41">
        <v>0</v>
      </c>
      <c r="AF34" s="41">
        <v>0</v>
      </c>
      <c r="AG34" s="41">
        <v>0</v>
      </c>
      <c r="AH34" s="41">
        <v>0</v>
      </c>
      <c r="AI34" s="41">
        <v>0</v>
      </c>
      <c r="AJ34" s="41">
        <v>0</v>
      </c>
      <c r="AK34" s="41">
        <v>0</v>
      </c>
      <c r="AL34" s="41">
        <v>0</v>
      </c>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c r="BM34" s="41"/>
      <c r="BN34" s="41"/>
      <c r="BO34" s="41"/>
      <c r="BP34" s="41"/>
      <c r="BQ34" s="41"/>
      <c r="BR34" s="41"/>
      <c r="BS34" s="41"/>
      <c r="BT34" s="41"/>
      <c r="BU34" s="41"/>
      <c r="BV34" s="41"/>
    </row>
    <row r="35" spans="2:74" hidden="1" outlineLevel="1" x14ac:dyDescent="0.35">
      <c r="B35" s="21" t="s">
        <v>63</v>
      </c>
      <c r="C35" s="41">
        <v>0</v>
      </c>
      <c r="D35" s="41">
        <v>0</v>
      </c>
      <c r="E35" s="41">
        <v>0</v>
      </c>
      <c r="F35" s="41">
        <v>0</v>
      </c>
      <c r="G35" s="41">
        <v>0</v>
      </c>
      <c r="H35" s="41">
        <v>0</v>
      </c>
      <c r="I35" s="41">
        <v>0</v>
      </c>
      <c r="J35" s="41">
        <v>0</v>
      </c>
      <c r="K35" s="41">
        <v>0</v>
      </c>
      <c r="L35" s="41">
        <v>0</v>
      </c>
      <c r="M35" s="41">
        <v>0</v>
      </c>
      <c r="N35" s="41">
        <v>0</v>
      </c>
      <c r="O35" s="41">
        <v>49.86764187</v>
      </c>
      <c r="P35" s="41">
        <v>49.86764187</v>
      </c>
      <c r="Q35" s="41">
        <v>49.86764187</v>
      </c>
      <c r="R35" s="41">
        <v>49.86764187</v>
      </c>
      <c r="S35" s="41">
        <v>49.86764187</v>
      </c>
      <c r="T35" s="41">
        <v>49.86764187</v>
      </c>
      <c r="U35" s="41">
        <v>49.86764187</v>
      </c>
      <c r="V35" s="41">
        <v>49.86764187</v>
      </c>
      <c r="W35" s="41">
        <v>49.86764187</v>
      </c>
      <c r="X35" s="41">
        <v>49.86764187</v>
      </c>
      <c r="Y35" s="41">
        <v>49.86764187</v>
      </c>
      <c r="Z35" s="41">
        <v>49.86764187</v>
      </c>
      <c r="AA35" s="41">
        <v>0</v>
      </c>
      <c r="AB35" s="41">
        <v>0</v>
      </c>
      <c r="AC35" s="41">
        <v>0</v>
      </c>
      <c r="AD35" s="41">
        <v>0</v>
      </c>
      <c r="AE35" s="41">
        <v>0</v>
      </c>
      <c r="AF35" s="41">
        <v>0</v>
      </c>
      <c r="AG35" s="41">
        <v>0</v>
      </c>
      <c r="AH35" s="41">
        <v>0</v>
      </c>
      <c r="AI35" s="41">
        <v>0</v>
      </c>
      <c r="AJ35" s="41">
        <v>0</v>
      </c>
      <c r="AK35" s="41">
        <v>0</v>
      </c>
      <c r="AL35" s="41">
        <v>0</v>
      </c>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c r="BM35" s="41"/>
      <c r="BN35" s="41"/>
      <c r="BO35" s="41"/>
      <c r="BP35" s="41"/>
      <c r="BQ35" s="41"/>
      <c r="BR35" s="41"/>
      <c r="BS35" s="41"/>
      <c r="BT35" s="41"/>
      <c r="BU35" s="41"/>
      <c r="BV35" s="41"/>
    </row>
    <row r="36" spans="2:74" hidden="1" outlineLevel="1" x14ac:dyDescent="0.35">
      <c r="B36" s="21" t="s">
        <v>64</v>
      </c>
      <c r="C36" s="41">
        <v>280.84279341000007</v>
      </c>
      <c r="D36" s="41">
        <v>280.84279341000007</v>
      </c>
      <c r="E36" s="41">
        <v>282.45986041000003</v>
      </c>
      <c r="F36" s="41">
        <v>282.45986041000003</v>
      </c>
      <c r="G36" s="41">
        <v>282.45986041000003</v>
      </c>
      <c r="H36" s="41">
        <v>276.54042164999998</v>
      </c>
      <c r="I36" s="41">
        <v>276.54042164999998</v>
      </c>
      <c r="J36" s="41">
        <v>276.54042164999998</v>
      </c>
      <c r="K36" s="41">
        <v>268.89085964999998</v>
      </c>
      <c r="L36" s="41">
        <v>268.89085964999998</v>
      </c>
      <c r="M36" s="41">
        <v>268.89085964999998</v>
      </c>
      <c r="N36" s="41">
        <v>205.34392464999996</v>
      </c>
      <c r="O36" s="41">
        <v>209.46826462999999</v>
      </c>
      <c r="P36" s="41">
        <v>209.46826454000004</v>
      </c>
      <c r="Q36" s="41">
        <v>201.81870254000003</v>
      </c>
      <c r="R36" s="41">
        <v>201.81870254000003</v>
      </c>
      <c r="S36" s="41">
        <v>201.81870254000003</v>
      </c>
      <c r="T36" s="41">
        <v>194.16914054000003</v>
      </c>
      <c r="U36" s="41">
        <v>194.16914054000003</v>
      </c>
      <c r="V36" s="41">
        <v>194.16914054000003</v>
      </c>
      <c r="W36" s="41">
        <v>186.51957854000003</v>
      </c>
      <c r="X36" s="41">
        <v>186.51957854000003</v>
      </c>
      <c r="Y36" s="41">
        <v>186.51957854000003</v>
      </c>
      <c r="Z36" s="41">
        <v>127.97264354000002</v>
      </c>
      <c r="AA36" s="41">
        <v>0</v>
      </c>
      <c r="AB36" s="41">
        <v>0</v>
      </c>
      <c r="AC36" s="41">
        <v>0</v>
      </c>
      <c r="AD36" s="41">
        <v>0</v>
      </c>
      <c r="AE36" s="41">
        <v>0</v>
      </c>
      <c r="AF36" s="41">
        <v>0</v>
      </c>
      <c r="AG36" s="41">
        <v>0</v>
      </c>
      <c r="AH36" s="41">
        <v>0</v>
      </c>
      <c r="AI36" s="41">
        <v>0</v>
      </c>
      <c r="AJ36" s="41">
        <v>0</v>
      </c>
      <c r="AK36" s="41">
        <v>0</v>
      </c>
      <c r="AL36" s="41">
        <v>0</v>
      </c>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1"/>
      <c r="BT36" s="41"/>
      <c r="BU36" s="41"/>
      <c r="BV36" s="41"/>
    </row>
    <row r="37" spans="2:74" hidden="1" outlineLevel="1" x14ac:dyDescent="0.35">
      <c r="B37" s="21" t="s">
        <v>65</v>
      </c>
      <c r="C37" s="41">
        <v>172.54053934000001</v>
      </c>
      <c r="D37" s="41">
        <v>188.11035566999999</v>
      </c>
      <c r="E37" s="41">
        <v>172.54082156999999</v>
      </c>
      <c r="F37" s="41">
        <v>174.34664784546277</v>
      </c>
      <c r="G37" s="41">
        <v>175.25780724035687</v>
      </c>
      <c r="H37" s="41">
        <v>180.28896844459891</v>
      </c>
      <c r="I37" s="41">
        <v>181.12023770246577</v>
      </c>
      <c r="J37" s="41">
        <v>181.946651887126</v>
      </c>
      <c r="K37" s="41">
        <v>186.99020240903511</v>
      </c>
      <c r="L37" s="41">
        <v>187.8112299952881</v>
      </c>
      <c r="M37" s="41">
        <v>188.5995496839374</v>
      </c>
      <c r="N37" s="41">
        <v>133.59880273165001</v>
      </c>
      <c r="O37" s="41">
        <v>87.569256509999988</v>
      </c>
      <c r="P37" s="41">
        <v>128.71405648999999</v>
      </c>
      <c r="Q37" s="41">
        <v>181.11800142999999</v>
      </c>
      <c r="R37" s="41">
        <v>229.9</v>
      </c>
      <c r="S37" s="41">
        <v>229.9</v>
      </c>
      <c r="T37" s="41">
        <v>229.9</v>
      </c>
      <c r="U37" s="41">
        <v>229.9</v>
      </c>
      <c r="V37" s="41">
        <v>229.9</v>
      </c>
      <c r="W37" s="41">
        <v>229.9</v>
      </c>
      <c r="X37" s="41">
        <v>169.9</v>
      </c>
      <c r="Y37" s="41">
        <v>109.9</v>
      </c>
      <c r="Z37" s="41">
        <v>49.9</v>
      </c>
      <c r="AA37" s="41">
        <v>0</v>
      </c>
      <c r="AB37" s="41">
        <v>0</v>
      </c>
      <c r="AC37" s="41">
        <v>0</v>
      </c>
      <c r="AD37" s="41">
        <v>0</v>
      </c>
      <c r="AE37" s="41">
        <v>0</v>
      </c>
      <c r="AF37" s="41">
        <v>0</v>
      </c>
      <c r="AG37" s="41">
        <v>0</v>
      </c>
      <c r="AH37" s="41">
        <v>0</v>
      </c>
      <c r="AI37" s="41">
        <v>0</v>
      </c>
      <c r="AJ37" s="41">
        <v>0</v>
      </c>
      <c r="AK37" s="41">
        <v>0</v>
      </c>
      <c r="AL37" s="41">
        <v>0</v>
      </c>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c r="BM37" s="41"/>
      <c r="BN37" s="41"/>
      <c r="BO37" s="41"/>
      <c r="BP37" s="41"/>
      <c r="BQ37" s="41"/>
      <c r="BR37" s="41"/>
      <c r="BS37" s="41"/>
      <c r="BT37" s="41"/>
      <c r="BU37" s="41"/>
      <c r="BV37" s="41"/>
    </row>
    <row r="38" spans="2:74" hidden="1" outlineLevel="1" x14ac:dyDescent="0.35">
      <c r="B38" s="21" t="s">
        <v>66</v>
      </c>
      <c r="C38" s="41">
        <v>81.495999999999995</v>
      </c>
      <c r="D38" s="41">
        <v>81.495999999999995</v>
      </c>
      <c r="E38" s="41">
        <v>81.495999999999995</v>
      </c>
      <c r="F38" s="41">
        <v>81.495999999999995</v>
      </c>
      <c r="G38" s="41">
        <v>81.495999999999995</v>
      </c>
      <c r="H38" s="41">
        <v>81.495999999999995</v>
      </c>
      <c r="I38" s="41">
        <v>81.495999999999995</v>
      </c>
      <c r="J38" s="41">
        <v>81.495999999999995</v>
      </c>
      <c r="K38" s="41">
        <v>81.495999999999995</v>
      </c>
      <c r="L38" s="41">
        <v>81.495999999999995</v>
      </c>
      <c r="M38" s="41">
        <v>81.495999999999995</v>
      </c>
      <c r="N38" s="41">
        <v>81.495999999999995</v>
      </c>
      <c r="O38" s="41">
        <v>81.495999999999995</v>
      </c>
      <c r="P38" s="41">
        <v>81.495999999999995</v>
      </c>
      <c r="Q38" s="41">
        <v>81.495999999999995</v>
      </c>
      <c r="R38" s="41">
        <v>81.495999999999995</v>
      </c>
      <c r="S38" s="41">
        <v>81.495999999999995</v>
      </c>
      <c r="T38" s="41">
        <v>81.495999999999995</v>
      </c>
      <c r="U38" s="41">
        <v>81.495999999999995</v>
      </c>
      <c r="V38" s="41">
        <v>81.495999999999995</v>
      </c>
      <c r="W38" s="41">
        <v>81.495999999999995</v>
      </c>
      <c r="X38" s="41">
        <v>81.495999999999995</v>
      </c>
      <c r="Y38" s="41">
        <v>81.495999999999995</v>
      </c>
      <c r="Z38" s="41">
        <v>81.495999999999995</v>
      </c>
      <c r="AA38" s="41">
        <v>0</v>
      </c>
      <c r="AB38" s="41">
        <v>0</v>
      </c>
      <c r="AC38" s="41">
        <v>0</v>
      </c>
      <c r="AD38" s="41">
        <v>0</v>
      </c>
      <c r="AE38" s="41">
        <v>0</v>
      </c>
      <c r="AF38" s="41">
        <v>0</v>
      </c>
      <c r="AG38" s="41">
        <v>0</v>
      </c>
      <c r="AH38" s="41">
        <v>0</v>
      </c>
      <c r="AI38" s="41">
        <v>0</v>
      </c>
      <c r="AJ38" s="41">
        <v>0</v>
      </c>
      <c r="AK38" s="41">
        <v>0</v>
      </c>
      <c r="AL38" s="41">
        <v>0</v>
      </c>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c r="BO38" s="41"/>
      <c r="BP38" s="41"/>
      <c r="BQ38" s="41"/>
      <c r="BR38" s="41"/>
      <c r="BS38" s="41"/>
      <c r="BT38" s="41"/>
      <c r="BU38" s="41"/>
      <c r="BV38" s="41"/>
    </row>
    <row r="39" spans="2:74" hidden="1" outlineLevel="1" x14ac:dyDescent="0.35">
      <c r="B39" s="21" t="s">
        <v>67</v>
      </c>
      <c r="C39" s="43">
        <v>250</v>
      </c>
      <c r="D39" s="43">
        <v>250</v>
      </c>
      <c r="E39" s="43">
        <v>250</v>
      </c>
      <c r="F39" s="43">
        <v>250</v>
      </c>
      <c r="G39" s="43">
        <v>250</v>
      </c>
      <c r="H39" s="43">
        <v>250</v>
      </c>
      <c r="I39" s="43">
        <v>250</v>
      </c>
      <c r="J39" s="43">
        <v>250</v>
      </c>
      <c r="K39" s="43">
        <v>250</v>
      </c>
      <c r="L39" s="43">
        <v>250</v>
      </c>
      <c r="M39" s="43">
        <v>250</v>
      </c>
      <c r="N39" s="43">
        <v>250</v>
      </c>
      <c r="O39" s="43">
        <v>250</v>
      </c>
      <c r="P39" s="43">
        <v>250</v>
      </c>
      <c r="Q39" s="43">
        <v>250</v>
      </c>
      <c r="R39" s="43">
        <v>250</v>
      </c>
      <c r="S39" s="43">
        <v>250</v>
      </c>
      <c r="T39" s="43">
        <v>250</v>
      </c>
      <c r="U39" s="43">
        <v>250</v>
      </c>
      <c r="V39" s="43">
        <v>250</v>
      </c>
      <c r="W39" s="43">
        <v>250</v>
      </c>
      <c r="X39" s="43">
        <v>250</v>
      </c>
      <c r="Y39" s="43">
        <v>250</v>
      </c>
      <c r="Z39" s="43">
        <v>250</v>
      </c>
      <c r="AA39" s="43">
        <v>250</v>
      </c>
      <c r="AB39" s="43">
        <v>250</v>
      </c>
      <c r="AC39" s="43">
        <v>250</v>
      </c>
      <c r="AD39" s="43">
        <v>250</v>
      </c>
      <c r="AE39" s="43">
        <v>250</v>
      </c>
      <c r="AF39" s="43">
        <v>250</v>
      </c>
      <c r="AG39" s="43">
        <v>250</v>
      </c>
      <c r="AH39" s="43">
        <v>250</v>
      </c>
      <c r="AI39" s="43">
        <v>250</v>
      </c>
      <c r="AJ39" s="43">
        <v>250</v>
      </c>
      <c r="AK39" s="43">
        <v>250</v>
      </c>
      <c r="AL39" s="43">
        <v>250</v>
      </c>
      <c r="AM39" s="43"/>
      <c r="AN39" s="43"/>
      <c r="AO39" s="43"/>
      <c r="AP39" s="43"/>
      <c r="AQ39" s="43"/>
      <c r="AR39" s="43"/>
      <c r="AS39" s="43"/>
      <c r="AT39" s="43"/>
      <c r="AU39" s="43"/>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row>
    <row r="40" spans="2:74" hidden="1" outlineLevel="1" x14ac:dyDescent="0.35">
      <c r="B40" s="21" t="s">
        <v>86</v>
      </c>
      <c r="C40" s="43">
        <v>52.5</v>
      </c>
      <c r="D40" s="43">
        <v>52.5</v>
      </c>
      <c r="E40" s="43">
        <v>52.5</v>
      </c>
      <c r="F40" s="43">
        <v>52.5</v>
      </c>
      <c r="G40" s="43">
        <v>52.5</v>
      </c>
      <c r="H40" s="43">
        <v>52.5</v>
      </c>
      <c r="I40" s="43">
        <v>52.5</v>
      </c>
      <c r="J40" s="43">
        <v>52.5</v>
      </c>
      <c r="K40" s="43">
        <v>52.5</v>
      </c>
      <c r="L40" s="43">
        <v>52.5</v>
      </c>
      <c r="M40" s="43">
        <v>52.5</v>
      </c>
      <c r="N40" s="43">
        <v>52.5</v>
      </c>
      <c r="O40" s="43">
        <v>52.5</v>
      </c>
      <c r="P40" s="43">
        <v>52.5</v>
      </c>
      <c r="Q40" s="43">
        <v>52.5</v>
      </c>
      <c r="R40" s="43">
        <v>52.5</v>
      </c>
      <c r="S40" s="43">
        <v>52.5</v>
      </c>
      <c r="T40" s="43">
        <v>52.5</v>
      </c>
      <c r="U40" s="43">
        <v>52.5</v>
      </c>
      <c r="V40" s="43">
        <v>52.5</v>
      </c>
      <c r="W40" s="43">
        <v>52.5</v>
      </c>
      <c r="X40" s="43">
        <v>52.5</v>
      </c>
      <c r="Y40" s="43">
        <v>52.5</v>
      </c>
      <c r="Z40" s="43">
        <v>52.5</v>
      </c>
      <c r="AA40" s="43">
        <v>52.5</v>
      </c>
      <c r="AB40" s="43">
        <v>52.5</v>
      </c>
      <c r="AC40" s="43">
        <v>52.5</v>
      </c>
      <c r="AD40" s="43">
        <v>52.5</v>
      </c>
      <c r="AE40" s="43">
        <v>52.5</v>
      </c>
      <c r="AF40" s="43">
        <v>52.5</v>
      </c>
      <c r="AG40" s="43">
        <v>52.5</v>
      </c>
      <c r="AH40" s="43">
        <v>52.5</v>
      </c>
      <c r="AI40" s="43">
        <v>52.5</v>
      </c>
      <c r="AJ40" s="43">
        <v>52.5</v>
      </c>
      <c r="AK40" s="43">
        <v>52.5</v>
      </c>
      <c r="AL40" s="43">
        <v>52.5</v>
      </c>
      <c r="AM40" s="43"/>
      <c r="AN40" s="43"/>
      <c r="AO40" s="43"/>
      <c r="AP40" s="43"/>
      <c r="AQ40" s="43"/>
      <c r="AR40" s="43"/>
      <c r="AS40" s="43"/>
      <c r="AT40" s="43"/>
      <c r="AU40" s="43"/>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row>
    <row r="41" spans="2:74" hidden="1" outlineLevel="1" x14ac:dyDescent="0.35">
      <c r="B41" s="21" t="s">
        <v>69</v>
      </c>
      <c r="C41" s="41">
        <v>-2.8681829699999999</v>
      </c>
      <c r="D41" s="41">
        <v>-1.9863696200000001</v>
      </c>
      <c r="E41" s="41">
        <v>-2.1567571699999997</v>
      </c>
      <c r="F41" s="41">
        <v>-0.99990000000017876</v>
      </c>
      <c r="G41" s="41">
        <v>-0.99999999999995537</v>
      </c>
      <c r="H41" s="41">
        <v>-0.99990000000008927</v>
      </c>
      <c r="I41" s="41">
        <v>-0.99980000000030533</v>
      </c>
      <c r="J41" s="41">
        <v>-0.99970000000000003</v>
      </c>
      <c r="K41" s="41">
        <v>-0.99960000000023097</v>
      </c>
      <c r="L41" s="41">
        <v>-0.99990000000019363</v>
      </c>
      <c r="M41" s="41">
        <v>-0.99990000000007806</v>
      </c>
      <c r="N41" s="41">
        <v>-1.0004995024994461</v>
      </c>
      <c r="O41" s="41">
        <v>-2.0818162299999998</v>
      </c>
      <c r="P41" s="41">
        <v>-51.963523600000002</v>
      </c>
      <c r="Q41" s="41">
        <v>-52.09725134</v>
      </c>
      <c r="R41" s="41">
        <v>-31.983422179999998</v>
      </c>
      <c r="S41" s="41">
        <v>-21.529600980000001</v>
      </c>
      <c r="T41" s="41">
        <v>-22.831649129999999</v>
      </c>
      <c r="U41" s="41">
        <v>-11.585288049999999</v>
      </c>
      <c r="V41" s="41">
        <v>-7.4214619599999994</v>
      </c>
      <c r="W41" s="41">
        <v>-13.66423294</v>
      </c>
      <c r="X41" s="41">
        <v>-14.044672569999998</v>
      </c>
      <c r="Y41" s="41">
        <v>-16.624302579999995</v>
      </c>
      <c r="Z41" s="41">
        <v>-32.090747389999997</v>
      </c>
      <c r="AA41" s="41">
        <v>0</v>
      </c>
      <c r="AB41" s="41">
        <v>0</v>
      </c>
      <c r="AC41" s="41">
        <v>0</v>
      </c>
      <c r="AD41" s="41">
        <v>0</v>
      </c>
      <c r="AE41" s="41">
        <v>0</v>
      </c>
      <c r="AF41" s="41">
        <v>0</v>
      </c>
      <c r="AG41" s="41">
        <v>0</v>
      </c>
      <c r="AH41" s="41">
        <v>0</v>
      </c>
      <c r="AI41" s="41">
        <v>0</v>
      </c>
      <c r="AJ41" s="41">
        <v>0</v>
      </c>
      <c r="AK41" s="41">
        <v>0</v>
      </c>
      <c r="AL41" s="41">
        <v>0</v>
      </c>
      <c r="AM41" s="41"/>
      <c r="AN41" s="41"/>
      <c r="AO41" s="41"/>
      <c r="AP41" s="41"/>
      <c r="AQ41" s="41"/>
      <c r="AR41" s="41"/>
      <c r="AS41" s="41"/>
      <c r="AT41" s="41"/>
      <c r="AU41" s="41"/>
      <c r="AV41" s="41"/>
      <c r="AW41" s="41"/>
      <c r="AX41" s="41"/>
      <c r="AY41" s="41"/>
      <c r="AZ41" s="41"/>
      <c r="BA41" s="41"/>
      <c r="BB41" s="41"/>
      <c r="BC41" s="41"/>
      <c r="BD41" s="41"/>
      <c r="BE41" s="41"/>
      <c r="BF41" s="41"/>
      <c r="BG41" s="41"/>
      <c r="BH41" s="41"/>
      <c r="BI41" s="41"/>
      <c r="BJ41" s="41"/>
      <c r="BK41" s="41"/>
      <c r="BL41" s="41"/>
      <c r="BM41" s="41"/>
      <c r="BN41" s="41"/>
      <c r="BO41" s="41"/>
      <c r="BP41" s="41"/>
      <c r="BQ41" s="41"/>
      <c r="BR41" s="41"/>
      <c r="BS41" s="41"/>
      <c r="BT41" s="41"/>
      <c r="BU41" s="41"/>
      <c r="BV41" s="41"/>
    </row>
    <row r="42" spans="2:74" hidden="1" outlineLevel="1" x14ac:dyDescent="0.35">
      <c r="B42" s="21" t="s">
        <v>70</v>
      </c>
      <c r="C42" s="41">
        <v>-10.177825779999999</v>
      </c>
      <c r="D42" s="41">
        <v>-9.7954163399999992</v>
      </c>
      <c r="E42" s="41">
        <v>-15.311255130000001</v>
      </c>
      <c r="F42" s="41">
        <v>-19.209719501647903</v>
      </c>
      <c r="G42" s="41">
        <v>-17.959060328519058</v>
      </c>
      <c r="H42" s="41">
        <v>-10.170040850780028</v>
      </c>
      <c r="I42" s="41">
        <v>-8.138473161740448</v>
      </c>
      <c r="J42" s="41">
        <v>-8.2076871875715387</v>
      </c>
      <c r="K42" s="41">
        <v>-10.69932135285706</v>
      </c>
      <c r="L42" s="41">
        <v>-6.8727230935743595</v>
      </c>
      <c r="M42" s="41">
        <v>-7.3624502403596832</v>
      </c>
      <c r="N42" s="41">
        <v>-23.139049956852308</v>
      </c>
      <c r="O42" s="41">
        <v>-25.24908344</v>
      </c>
      <c r="P42" s="41">
        <v>-11.139516409999999</v>
      </c>
      <c r="Q42" s="41">
        <v>-8.9529181800000011</v>
      </c>
      <c r="R42" s="41">
        <v>-9.4028925300000008</v>
      </c>
      <c r="S42" s="41">
        <v>-16.323490020000001</v>
      </c>
      <c r="T42" s="41">
        <v>-15.088722589999998</v>
      </c>
      <c r="U42" s="41">
        <v>-14.62427626</v>
      </c>
      <c r="V42" s="41">
        <v>-17.185286979999997</v>
      </c>
      <c r="W42" s="41">
        <v>-16.628863399999997</v>
      </c>
      <c r="X42" s="41">
        <v>-13.63526126</v>
      </c>
      <c r="Y42" s="41">
        <v>-14.87238881</v>
      </c>
      <c r="Z42" s="41">
        <v>-31.761915439999996</v>
      </c>
      <c r="AA42" s="41">
        <v>0</v>
      </c>
      <c r="AB42" s="41">
        <v>0</v>
      </c>
      <c r="AC42" s="41">
        <v>0</v>
      </c>
      <c r="AD42" s="41">
        <v>0</v>
      </c>
      <c r="AE42" s="41">
        <v>0</v>
      </c>
      <c r="AF42" s="41">
        <v>0</v>
      </c>
      <c r="AG42" s="41">
        <v>0</v>
      </c>
      <c r="AH42" s="41">
        <v>0</v>
      </c>
      <c r="AI42" s="41">
        <v>0</v>
      </c>
      <c r="AJ42" s="41">
        <v>0</v>
      </c>
      <c r="AK42" s="41">
        <v>0</v>
      </c>
      <c r="AL42" s="41">
        <v>0</v>
      </c>
      <c r="AM42" s="41"/>
      <c r="AN42" s="41"/>
      <c r="AO42" s="41"/>
      <c r="AP42" s="41"/>
      <c r="AQ42" s="41"/>
      <c r="AR42" s="41"/>
      <c r="AS42" s="41"/>
      <c r="AT42" s="41"/>
      <c r="AU42" s="41"/>
      <c r="AV42" s="41"/>
      <c r="AW42" s="41"/>
      <c r="AX42" s="41"/>
      <c r="AY42" s="41"/>
      <c r="AZ42" s="41"/>
      <c r="BA42" s="41"/>
      <c r="BB42" s="41"/>
      <c r="BC42" s="41"/>
      <c r="BD42" s="41"/>
      <c r="BE42" s="41"/>
      <c r="BF42" s="41"/>
      <c r="BG42" s="41"/>
      <c r="BH42" s="41"/>
      <c r="BI42" s="41"/>
      <c r="BJ42" s="41"/>
      <c r="BK42" s="41"/>
      <c r="BL42" s="41"/>
      <c r="BM42" s="41"/>
      <c r="BN42" s="41"/>
      <c r="BO42" s="41"/>
      <c r="BP42" s="41"/>
      <c r="BQ42" s="41"/>
      <c r="BR42" s="41"/>
      <c r="BS42" s="41"/>
      <c r="BT42" s="41"/>
      <c r="BU42" s="41"/>
      <c r="BV42" s="41"/>
    </row>
    <row r="43" spans="2:74" s="40" customFormat="1" ht="13.15" hidden="1" outlineLevel="1" x14ac:dyDescent="0.4">
      <c r="B43" s="40" t="s">
        <v>71</v>
      </c>
      <c r="C43" s="42">
        <v>824.33332400000006</v>
      </c>
      <c r="D43" s="42">
        <v>841.16736312000012</v>
      </c>
      <c r="E43" s="42">
        <v>821.52866968000012</v>
      </c>
      <c r="F43" s="42">
        <v>820.5928887538148</v>
      </c>
      <c r="G43" s="42">
        <v>822.75460732183785</v>
      </c>
      <c r="H43" s="42">
        <v>829.65544924381868</v>
      </c>
      <c r="I43" s="42">
        <v>832.5183861907251</v>
      </c>
      <c r="J43" s="42">
        <v>833.27568634955446</v>
      </c>
      <c r="K43" s="42">
        <v>828.17814070617783</v>
      </c>
      <c r="L43" s="42">
        <v>832.82546655171359</v>
      </c>
      <c r="M43" s="42">
        <v>833.12405909357767</v>
      </c>
      <c r="N43" s="42">
        <v>698.79917792229821</v>
      </c>
      <c r="O43" s="72">
        <v>703.57026333999988</v>
      </c>
      <c r="P43" s="72">
        <v>708.94292288999986</v>
      </c>
      <c r="Q43" s="72">
        <v>755.75017632000004</v>
      </c>
      <c r="R43" s="72">
        <v>824.19602969999994</v>
      </c>
      <c r="S43" s="72">
        <v>827.72925340999996</v>
      </c>
      <c r="T43" s="72">
        <v>820.01241069000014</v>
      </c>
      <c r="U43" s="72">
        <v>831.72321810000005</v>
      </c>
      <c r="V43" s="72">
        <v>833.32603347000008</v>
      </c>
      <c r="W43" s="72">
        <v>819.99012406999998</v>
      </c>
      <c r="X43" s="72">
        <v>762.60328658000003</v>
      </c>
      <c r="Y43" s="72">
        <v>698.7865290200001</v>
      </c>
      <c r="Z43" s="72">
        <v>547.88362258000006</v>
      </c>
      <c r="AA43" s="42">
        <v>302.5</v>
      </c>
      <c r="AB43" s="42">
        <v>302.5</v>
      </c>
      <c r="AC43" s="42">
        <v>302.5</v>
      </c>
      <c r="AD43" s="42">
        <v>302.5</v>
      </c>
      <c r="AE43" s="42">
        <v>302.5</v>
      </c>
      <c r="AF43" s="42">
        <v>302.5</v>
      </c>
      <c r="AG43" s="42">
        <v>302.5</v>
      </c>
      <c r="AH43" s="42">
        <v>302.5</v>
      </c>
      <c r="AI43" s="42">
        <v>302.5</v>
      </c>
      <c r="AJ43" s="42">
        <v>302.5</v>
      </c>
      <c r="AK43" s="42">
        <v>302.5</v>
      </c>
      <c r="AL43" s="42">
        <v>302.5</v>
      </c>
      <c r="AM43" s="42"/>
      <c r="AN43" s="42"/>
      <c r="AO43" s="42"/>
      <c r="AP43" s="42"/>
      <c r="AQ43" s="42"/>
      <c r="AR43" s="42"/>
      <c r="AS43" s="42"/>
      <c r="AT43" s="42"/>
      <c r="AU43" s="42"/>
      <c r="AV43" s="42"/>
      <c r="AW43" s="42"/>
      <c r="AX43" s="42"/>
      <c r="AY43" s="42"/>
      <c r="AZ43" s="42"/>
      <c r="BA43" s="42"/>
      <c r="BB43" s="42"/>
      <c r="BC43" s="42"/>
      <c r="BD43" s="42"/>
      <c r="BE43" s="42"/>
      <c r="BF43" s="42"/>
      <c r="BG43" s="42"/>
      <c r="BH43" s="42"/>
      <c r="BI43" s="42"/>
      <c r="BJ43" s="42"/>
      <c r="BK43" s="42"/>
      <c r="BL43" s="42"/>
      <c r="BM43" s="42"/>
      <c r="BN43" s="42"/>
      <c r="BO43" s="42"/>
      <c r="BP43" s="42"/>
      <c r="BQ43" s="42"/>
      <c r="BR43" s="42"/>
      <c r="BS43" s="42"/>
      <c r="BT43" s="42"/>
      <c r="BU43" s="42"/>
      <c r="BV43" s="42"/>
    </row>
    <row r="44" spans="2:74" hidden="1" outlineLevel="1" x14ac:dyDescent="0.35"/>
    <row r="45" spans="2:74" hidden="1" outlineLevel="1" x14ac:dyDescent="0.35"/>
    <row r="46" spans="2:74" hidden="1" outlineLevel="1" x14ac:dyDescent="0.35"/>
    <row r="47" spans="2:74" hidden="1" outlineLevel="1" x14ac:dyDescent="0.35">
      <c r="O47" s="41"/>
      <c r="P47" s="41"/>
      <c r="Q47" s="41"/>
      <c r="R47" s="41"/>
      <c r="S47" s="41"/>
      <c r="T47" s="41"/>
      <c r="U47" s="41"/>
      <c r="V47" s="41"/>
      <c r="W47" s="41"/>
      <c r="X47" s="41"/>
      <c r="Y47" s="41"/>
      <c r="Z47" s="41"/>
    </row>
    <row r="48" spans="2:74" hidden="1" outlineLevel="1" x14ac:dyDescent="0.35"/>
    <row r="49" spans="2:74" hidden="1" outlineLevel="1" x14ac:dyDescent="0.35"/>
    <row r="50" spans="2:74" hidden="1" outlineLevel="1" x14ac:dyDescent="0.35">
      <c r="B50" s="59" t="s">
        <v>72</v>
      </c>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41"/>
      <c r="BH50" s="41"/>
      <c r="BI50" s="41"/>
      <c r="BJ50" s="41"/>
      <c r="BK50" s="41"/>
      <c r="BL50" s="41"/>
      <c r="BM50" s="41"/>
      <c r="BN50" s="41"/>
      <c r="BO50" s="41"/>
      <c r="BP50" s="41"/>
      <c r="BQ50" s="41"/>
      <c r="BR50" s="41"/>
      <c r="BS50" s="41"/>
      <c r="BT50" s="41"/>
      <c r="BU50" s="41"/>
      <c r="BV50" s="41"/>
    </row>
    <row r="51" spans="2:74" hidden="1" outlineLevel="1" x14ac:dyDescent="0.35">
      <c r="C51" s="41"/>
      <c r="D51" s="41"/>
      <c r="E51" s="41"/>
      <c r="F51" s="41"/>
      <c r="G51" s="41"/>
      <c r="N51" s="41"/>
      <c r="AA51" s="41"/>
      <c r="AB51" s="41"/>
      <c r="AC51" s="41"/>
      <c r="AD51" s="41"/>
      <c r="AE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1"/>
      <c r="BJ51" s="41"/>
      <c r="BK51" s="41"/>
      <c r="BL51" s="41"/>
      <c r="BM51" s="41"/>
      <c r="BN51" s="41"/>
      <c r="BO51" s="41"/>
      <c r="BP51" s="41"/>
      <c r="BQ51" s="41"/>
      <c r="BR51" s="41"/>
      <c r="BS51" s="41"/>
      <c r="BT51" s="41"/>
      <c r="BU51" s="41"/>
      <c r="BV51" s="41"/>
    </row>
    <row r="52" spans="2:74" hidden="1" outlineLevel="1" x14ac:dyDescent="0.35">
      <c r="B52" s="60" t="s">
        <v>73</v>
      </c>
      <c r="C52" s="60">
        <v>34797.901590000001</v>
      </c>
      <c r="D52" s="60">
        <v>34068.724769999979</v>
      </c>
      <c r="E52" s="60">
        <v>20343.815499999997</v>
      </c>
      <c r="F52" s="60">
        <v>14593.99317784005</v>
      </c>
      <c r="G52" s="60">
        <v>22640.947626613168</v>
      </c>
      <c r="H52" s="60">
        <v>29779.708278756545</v>
      </c>
      <c r="I52" s="60">
        <v>29330.230977777363</v>
      </c>
      <c r="J52" s="60">
        <v>33642.007838564459</v>
      </c>
      <c r="K52" s="60">
        <v>46705.852562429849</v>
      </c>
      <c r="L52" s="60">
        <v>49195.431559259945</v>
      </c>
      <c r="M52" s="60">
        <v>81841.93432377209</v>
      </c>
      <c r="N52" s="60">
        <v>125180.2861143864</v>
      </c>
      <c r="O52" s="60">
        <v>32282.765540638102</v>
      </c>
      <c r="P52" s="60">
        <v>32680.857296260525</v>
      </c>
      <c r="Q52" s="60">
        <v>23738.489988550129</v>
      </c>
      <c r="R52" s="60">
        <v>31143.529088909723</v>
      </c>
      <c r="S52" s="60">
        <v>37556.851697901555</v>
      </c>
      <c r="T52" s="60">
        <v>44400.134663411736</v>
      </c>
      <c r="U52" s="60">
        <v>37194.225230980286</v>
      </c>
      <c r="V52" s="60">
        <v>40568.836539708776</v>
      </c>
      <c r="W52" s="60">
        <v>54535.014128295705</v>
      </c>
      <c r="X52" s="60">
        <v>52147.933928729035</v>
      </c>
      <c r="Y52" s="60">
        <v>86696.29191638279</v>
      </c>
      <c r="Z52" s="60">
        <v>123117.42395001143</v>
      </c>
      <c r="AA52" s="60">
        <v>34797.901590000001</v>
      </c>
      <c r="AB52" s="60">
        <v>34068.724769999979</v>
      </c>
      <c r="AC52" s="60">
        <v>20343.815499999997</v>
      </c>
      <c r="AD52" s="60">
        <v>14593.99317784005</v>
      </c>
      <c r="AE52" s="60">
        <v>22640.947626613168</v>
      </c>
      <c r="AF52" s="60">
        <v>29779.708278756545</v>
      </c>
      <c r="AG52" s="60">
        <v>29330.230977777363</v>
      </c>
      <c r="AH52" s="60">
        <v>33642.007838564459</v>
      </c>
      <c r="AI52" s="60">
        <v>46705.852562429849</v>
      </c>
      <c r="AJ52" s="60">
        <v>49195.431559259945</v>
      </c>
      <c r="AK52" s="60">
        <v>81841.93432377209</v>
      </c>
      <c r="AL52" s="60">
        <v>125180.2861143864</v>
      </c>
      <c r="AM52" s="60"/>
      <c r="AN52" s="60"/>
      <c r="AO52" s="60"/>
      <c r="AP52" s="60"/>
      <c r="AQ52" s="60"/>
      <c r="AR52" s="60"/>
      <c r="AS52" s="60"/>
      <c r="AT52" s="60"/>
      <c r="AU52" s="60"/>
      <c r="AV52" s="60"/>
      <c r="AW52" s="60"/>
      <c r="AX52" s="60"/>
      <c r="AY52" s="129"/>
      <c r="AZ52" s="129"/>
      <c r="BA52" s="129"/>
      <c r="BB52" s="129"/>
      <c r="BC52" s="129"/>
      <c r="BD52" s="129"/>
      <c r="BE52" s="129"/>
      <c r="BF52" s="129"/>
      <c r="BG52" s="129"/>
      <c r="BH52" s="129"/>
      <c r="BI52" s="129"/>
      <c r="BJ52" s="129"/>
      <c r="BK52" s="129"/>
      <c r="BL52" s="129"/>
      <c r="BM52" s="129"/>
      <c r="BN52" s="129"/>
      <c r="BO52" s="129"/>
      <c r="BP52" s="129"/>
      <c r="BQ52" s="129"/>
      <c r="BR52" s="129"/>
      <c r="BS52" s="129"/>
      <c r="BT52" s="129"/>
      <c r="BU52" s="129"/>
      <c r="BV52" s="129"/>
    </row>
    <row r="53" spans="2:74" hidden="1" outlineLevel="1" x14ac:dyDescent="0.35">
      <c r="B53" s="60" t="s">
        <v>74</v>
      </c>
      <c r="C53" s="60">
        <v>23586.60527999996</v>
      </c>
      <c r="D53" s="60">
        <v>19517.574159999989</v>
      </c>
      <c r="E53" s="60">
        <v>10117.864669999995</v>
      </c>
      <c r="F53" s="60">
        <v>2374.3721872918723</v>
      </c>
      <c r="G53" s="60">
        <v>8783.2426630630325</v>
      </c>
      <c r="H53" s="60">
        <v>15892.971398622751</v>
      </c>
      <c r="I53" s="60">
        <v>19384.97913051545</v>
      </c>
      <c r="J53" s="60">
        <v>21555.141170969036</v>
      </c>
      <c r="K53" s="60">
        <v>27475.715763421991</v>
      </c>
      <c r="L53" s="60">
        <v>28165.82924646428</v>
      </c>
      <c r="M53" s="60">
        <v>39858.62254029332</v>
      </c>
      <c r="N53" s="60">
        <v>85590.76537834591</v>
      </c>
      <c r="O53" s="60">
        <v>7356.6662965000032</v>
      </c>
      <c r="P53" s="60">
        <v>4382.7045069999986</v>
      </c>
      <c r="Q53" s="60">
        <v>20731.273500577714</v>
      </c>
      <c r="R53" s="60">
        <v>5060.7421549999963</v>
      </c>
      <c r="S53" s="60">
        <v>19712.523116560638</v>
      </c>
      <c r="T53" s="60">
        <v>18920.43766221423</v>
      </c>
      <c r="U53" s="60">
        <v>20565.558075170011</v>
      </c>
      <c r="V53" s="60">
        <v>24682.486350239364</v>
      </c>
      <c r="W53" s="60">
        <v>33469.944153466546</v>
      </c>
      <c r="X53" s="60">
        <v>31438.665953724783</v>
      </c>
      <c r="Y53" s="60">
        <v>50782.518575327209</v>
      </c>
      <c r="Z53" s="60">
        <v>95622.567171579431</v>
      </c>
      <c r="AA53" s="60">
        <v>23586.60527999996</v>
      </c>
      <c r="AB53" s="60">
        <v>19517.574159999989</v>
      </c>
      <c r="AC53" s="60">
        <v>10117.864669999995</v>
      </c>
      <c r="AD53" s="60">
        <v>2374.3721872918723</v>
      </c>
      <c r="AE53" s="60">
        <v>8783.2426630630325</v>
      </c>
      <c r="AF53" s="60">
        <v>15892.971398622751</v>
      </c>
      <c r="AG53" s="60">
        <v>19384.97913051545</v>
      </c>
      <c r="AH53" s="60">
        <v>21555.141170969036</v>
      </c>
      <c r="AI53" s="60">
        <v>27475.715763421991</v>
      </c>
      <c r="AJ53" s="60">
        <v>28165.82924646428</v>
      </c>
      <c r="AK53" s="60">
        <v>39858.62254029332</v>
      </c>
      <c r="AL53" s="60">
        <v>85590.76537834591</v>
      </c>
      <c r="AM53" s="60"/>
      <c r="AN53" s="60"/>
      <c r="AO53" s="60"/>
      <c r="AP53" s="60"/>
      <c r="AQ53" s="60"/>
      <c r="AR53" s="60"/>
      <c r="AS53" s="60"/>
      <c r="AT53" s="60"/>
      <c r="AU53" s="60"/>
      <c r="AV53" s="60"/>
      <c r="AW53" s="60"/>
      <c r="AX53" s="60"/>
      <c r="AY53" s="129"/>
      <c r="AZ53" s="129"/>
      <c r="BA53" s="129"/>
      <c r="BB53" s="129"/>
      <c r="BC53" s="129"/>
      <c r="BD53" s="129"/>
      <c r="BE53" s="129"/>
      <c r="BF53" s="129"/>
      <c r="BG53" s="129"/>
      <c r="BH53" s="129"/>
      <c r="BI53" s="129"/>
      <c r="BJ53" s="129"/>
      <c r="BK53" s="129"/>
      <c r="BL53" s="129"/>
      <c r="BM53" s="129"/>
      <c r="BN53" s="129"/>
      <c r="BO53" s="129"/>
      <c r="BP53" s="129"/>
      <c r="BQ53" s="129"/>
      <c r="BR53" s="129"/>
      <c r="BS53" s="129"/>
      <c r="BT53" s="129"/>
      <c r="BU53" s="129"/>
      <c r="BV53" s="129"/>
    </row>
    <row r="54" spans="2:74" hidden="1" outlineLevel="1" x14ac:dyDescent="0.35">
      <c r="B54" s="65" t="s">
        <v>71</v>
      </c>
      <c r="C54" s="61">
        <v>58384.506869999961</v>
      </c>
      <c r="D54" s="61">
        <v>53586.298929999968</v>
      </c>
      <c r="E54" s="61">
        <v>30461.680169999992</v>
      </c>
      <c r="F54" s="61">
        <v>16968.365365131922</v>
      </c>
      <c r="G54" s="61">
        <v>31424.1902896762</v>
      </c>
      <c r="H54" s="61">
        <v>45672.679677379296</v>
      </c>
      <c r="I54" s="61">
        <v>48715.210108292813</v>
      </c>
      <c r="J54" s="61">
        <v>55197.149009533496</v>
      </c>
      <c r="K54" s="61">
        <v>74181.56832585184</v>
      </c>
      <c r="L54" s="61">
        <v>77361.260805724218</v>
      </c>
      <c r="M54" s="61">
        <v>121700.55686406541</v>
      </c>
      <c r="N54" s="61">
        <v>210771.05149273231</v>
      </c>
      <c r="O54" s="61">
        <v>39639.431837138109</v>
      </c>
      <c r="P54" s="61">
        <v>37063.561803260527</v>
      </c>
      <c r="Q54" s="61">
        <v>44469.763489127843</v>
      </c>
      <c r="R54" s="61">
        <v>36204.271243909723</v>
      </c>
      <c r="S54" s="61">
        <v>57269.374814462193</v>
      </c>
      <c r="T54" s="61">
        <v>63320.572325625966</v>
      </c>
      <c r="U54" s="61">
        <v>57759.783306150297</v>
      </c>
      <c r="V54" s="61">
        <v>65251.32288994814</v>
      </c>
      <c r="W54" s="61">
        <v>88004.958281762258</v>
      </c>
      <c r="X54" s="61">
        <v>83586.599882453826</v>
      </c>
      <c r="Y54" s="61">
        <v>137478.81049171</v>
      </c>
      <c r="Z54" s="61">
        <v>218739.99112159087</v>
      </c>
      <c r="AA54" s="61">
        <v>58384.506869999961</v>
      </c>
      <c r="AB54" s="61">
        <v>53586.298929999968</v>
      </c>
      <c r="AC54" s="61">
        <v>30461.680169999992</v>
      </c>
      <c r="AD54" s="61">
        <v>16968.365365131922</v>
      </c>
      <c r="AE54" s="61">
        <v>31424.1902896762</v>
      </c>
      <c r="AF54" s="61">
        <v>45672.679677379296</v>
      </c>
      <c r="AG54" s="61">
        <v>48715.210108292813</v>
      </c>
      <c r="AH54" s="61">
        <v>55197.149009533496</v>
      </c>
      <c r="AI54" s="61">
        <v>74181.56832585184</v>
      </c>
      <c r="AJ54" s="61">
        <v>77361.260805724218</v>
      </c>
      <c r="AK54" s="61">
        <v>121700.55686406541</v>
      </c>
      <c r="AL54" s="61">
        <v>210771.05149273231</v>
      </c>
      <c r="AM54" s="61"/>
      <c r="AN54" s="61"/>
      <c r="AO54" s="61"/>
      <c r="AP54" s="61"/>
      <c r="AQ54" s="61"/>
      <c r="AR54" s="61"/>
      <c r="AS54" s="61"/>
      <c r="AT54" s="61"/>
      <c r="AU54" s="61"/>
      <c r="AV54" s="61"/>
      <c r="AW54" s="61"/>
      <c r="AX54" s="61"/>
      <c r="AY54" s="130"/>
      <c r="AZ54" s="130"/>
      <c r="BA54" s="130"/>
      <c r="BB54" s="130"/>
      <c r="BC54" s="130"/>
      <c r="BD54" s="130"/>
      <c r="BE54" s="130"/>
      <c r="BF54" s="130"/>
      <c r="BG54" s="130"/>
      <c r="BH54" s="130"/>
      <c r="BI54" s="130"/>
      <c r="BJ54" s="130"/>
      <c r="BK54" s="130"/>
      <c r="BL54" s="130"/>
      <c r="BM54" s="130"/>
      <c r="BN54" s="130"/>
      <c r="BO54" s="130"/>
      <c r="BP54" s="130"/>
      <c r="BQ54" s="130"/>
      <c r="BR54" s="130"/>
      <c r="BS54" s="130"/>
      <c r="BT54" s="130"/>
      <c r="BU54" s="130"/>
      <c r="BV54" s="130"/>
    </row>
    <row r="55" spans="2:74" hidden="1" outlineLevel="1" x14ac:dyDescent="0.35">
      <c r="B55" s="59"/>
      <c r="C55" s="60"/>
      <c r="D55" s="60"/>
      <c r="E55" s="60"/>
      <c r="F55" s="60"/>
      <c r="G55" s="60"/>
      <c r="H55" s="60"/>
      <c r="I55" s="60"/>
      <c r="J55" s="60"/>
      <c r="K55" s="60"/>
      <c r="L55" s="60"/>
      <c r="M55" s="60"/>
      <c r="N55" s="60"/>
      <c r="O55" s="60"/>
      <c r="P55" s="60"/>
      <c r="Q55" s="60"/>
      <c r="R55" s="60"/>
      <c r="S55" s="60"/>
      <c r="T55" s="60"/>
      <c r="U55" s="60"/>
      <c r="V55" s="60"/>
      <c r="W55" s="60"/>
      <c r="X55" s="60"/>
      <c r="Y55" s="60"/>
      <c r="Z55" s="60"/>
      <c r="AA55" s="60"/>
      <c r="AB55" s="60"/>
      <c r="AC55" s="60"/>
      <c r="AD55" s="60"/>
      <c r="AE55" s="60"/>
      <c r="AF55" s="60"/>
      <c r="AG55" s="60"/>
      <c r="AH55" s="60"/>
      <c r="AI55" s="60"/>
      <c r="AJ55" s="60"/>
      <c r="AK55" s="60"/>
      <c r="AL55" s="60"/>
      <c r="AM55" s="60"/>
      <c r="AN55" s="60"/>
      <c r="AO55" s="60"/>
      <c r="AP55" s="60"/>
      <c r="AQ55" s="60"/>
      <c r="AR55" s="60"/>
      <c r="AS55" s="60"/>
      <c r="AT55" s="60"/>
      <c r="AU55" s="60"/>
      <c r="AV55" s="60"/>
      <c r="AW55" s="60"/>
      <c r="AX55" s="60"/>
      <c r="AY55" s="129"/>
      <c r="AZ55" s="129"/>
      <c r="BA55" s="129"/>
      <c r="BB55" s="129"/>
      <c r="BC55" s="129"/>
      <c r="BD55" s="129"/>
      <c r="BE55" s="129"/>
      <c r="BF55" s="129"/>
      <c r="BG55" s="129"/>
      <c r="BH55" s="129"/>
      <c r="BI55" s="129"/>
      <c r="BJ55" s="129"/>
      <c r="BK55" s="129"/>
      <c r="BL55" s="129"/>
      <c r="BM55" s="129"/>
      <c r="BN55" s="129"/>
      <c r="BO55" s="129"/>
      <c r="BP55" s="129"/>
      <c r="BQ55" s="129"/>
      <c r="BR55" s="129"/>
      <c r="BS55" s="129"/>
      <c r="BT55" s="129"/>
      <c r="BU55" s="129"/>
      <c r="BV55" s="129"/>
    </row>
    <row r="56" spans="2:74" hidden="1" outlineLevel="1" x14ac:dyDescent="0.35">
      <c r="B56" s="59"/>
      <c r="C56" s="60"/>
      <c r="D56" s="60"/>
      <c r="E56" s="60"/>
      <c r="F56" s="60"/>
      <c r="G56" s="60"/>
      <c r="H56" s="60"/>
      <c r="I56" s="60"/>
      <c r="J56" s="60"/>
      <c r="K56" s="60"/>
      <c r="L56" s="60"/>
      <c r="M56" s="60"/>
      <c r="N56" s="60"/>
      <c r="O56" s="60"/>
      <c r="P56" s="60"/>
      <c r="Q56" s="60"/>
      <c r="R56" s="60"/>
      <c r="S56" s="60"/>
      <c r="T56" s="60"/>
      <c r="U56" s="60"/>
      <c r="V56" s="60"/>
      <c r="W56" s="60"/>
      <c r="X56" s="60"/>
      <c r="Y56" s="60"/>
      <c r="Z56" s="60"/>
      <c r="AA56" s="60"/>
      <c r="AB56" s="60"/>
      <c r="AC56" s="60"/>
      <c r="AD56" s="60"/>
      <c r="AE56" s="60"/>
      <c r="AF56" s="60"/>
      <c r="AG56" s="60"/>
      <c r="AH56" s="60"/>
      <c r="AI56" s="60"/>
      <c r="AJ56" s="60"/>
      <c r="AK56" s="60"/>
      <c r="AL56" s="60"/>
      <c r="AM56" s="60"/>
      <c r="AN56" s="60"/>
      <c r="AO56" s="60"/>
      <c r="AP56" s="60"/>
      <c r="AQ56" s="60"/>
      <c r="AR56" s="60"/>
      <c r="AS56" s="60"/>
      <c r="AT56" s="60"/>
      <c r="AU56" s="60"/>
      <c r="AV56" s="60"/>
      <c r="AW56" s="60"/>
      <c r="AX56" s="60"/>
      <c r="AY56" s="129"/>
      <c r="AZ56" s="129"/>
      <c r="BA56" s="129"/>
      <c r="BB56" s="129"/>
      <c r="BC56" s="129"/>
      <c r="BD56" s="129"/>
      <c r="BE56" s="129"/>
      <c r="BF56" s="129"/>
      <c r="BG56" s="129"/>
      <c r="BH56" s="129"/>
      <c r="BI56" s="129"/>
      <c r="BJ56" s="129"/>
      <c r="BK56" s="129"/>
      <c r="BL56" s="129"/>
      <c r="BM56" s="129"/>
      <c r="BN56" s="129"/>
      <c r="BO56" s="129"/>
      <c r="BP56" s="129"/>
      <c r="BQ56" s="129"/>
      <c r="BR56" s="129"/>
      <c r="BS56" s="129"/>
      <c r="BT56" s="129"/>
      <c r="BU56" s="129"/>
      <c r="BV56" s="129"/>
    </row>
    <row r="57" spans="2:74" hidden="1" outlineLevel="1" x14ac:dyDescent="0.35">
      <c r="B57" s="60" t="s">
        <v>75</v>
      </c>
      <c r="C57" s="60">
        <v>1121.288509999993</v>
      </c>
      <c r="D57" s="60">
        <v>1825.9179399999903</v>
      </c>
      <c r="E57" s="60">
        <v>316.88614000001689</v>
      </c>
      <c r="F57" s="60">
        <v>-2495.1927925421987</v>
      </c>
      <c r="G57" s="60">
        <v>-1361.6069408252861</v>
      </c>
      <c r="H57" s="60">
        <v>4214.4068032732812</v>
      </c>
      <c r="I57" s="60">
        <v>5713.9322904002365</v>
      </c>
      <c r="J57" s="60">
        <v>2752.6528368995459</v>
      </c>
      <c r="K57" s="60">
        <v>10799.107374759744</v>
      </c>
      <c r="L57" s="60">
        <v>10104.837150274816</v>
      </c>
      <c r="M57" s="60">
        <v>35011.790263686577</v>
      </c>
      <c r="N57" s="60">
        <v>75365.744500898378</v>
      </c>
      <c r="O57" s="60">
        <v>6561.0755933488817</v>
      </c>
      <c r="P57" s="60">
        <v>6756.7721397190298</v>
      </c>
      <c r="Q57" s="60">
        <v>-4331.8760302900819</v>
      </c>
      <c r="R57" s="60">
        <v>6117.7121873134311</v>
      </c>
      <c r="S57" s="60">
        <v>8466.5084864298806</v>
      </c>
      <c r="T57" s="60">
        <v>12579.183654610215</v>
      </c>
      <c r="U57" s="60">
        <v>10511.55417914893</v>
      </c>
      <c r="V57" s="60">
        <v>9564.8727441972187</v>
      </c>
      <c r="W57" s="60">
        <v>19393.724340404184</v>
      </c>
      <c r="X57" s="60">
        <v>13772.487505668123</v>
      </c>
      <c r="Y57" s="60">
        <v>42583.149917350376</v>
      </c>
      <c r="Z57" s="60">
        <v>52175.19958416267</v>
      </c>
      <c r="AA57" s="60">
        <v>1121.288509999993</v>
      </c>
      <c r="AB57" s="60">
        <v>1825.9179399999903</v>
      </c>
      <c r="AC57" s="60">
        <v>316.88614000001689</v>
      </c>
      <c r="AD57" s="60">
        <v>-2495.1927925421987</v>
      </c>
      <c r="AE57" s="60">
        <v>-1361.6069408252861</v>
      </c>
      <c r="AF57" s="60">
        <v>4214.4068032732812</v>
      </c>
      <c r="AG57" s="60">
        <v>5713.9322904002365</v>
      </c>
      <c r="AH57" s="60">
        <v>2752.6528368995459</v>
      </c>
      <c r="AI57" s="60">
        <v>10799.107374759744</v>
      </c>
      <c r="AJ57" s="60">
        <v>10104.837150274816</v>
      </c>
      <c r="AK57" s="60">
        <v>35011.790263686577</v>
      </c>
      <c r="AL57" s="60">
        <v>75365.744500898378</v>
      </c>
      <c r="AM57" s="60"/>
      <c r="AN57" s="60"/>
      <c r="AO57" s="60"/>
      <c r="AP57" s="60"/>
      <c r="AQ57" s="60"/>
      <c r="AR57" s="60"/>
      <c r="AS57" s="60"/>
      <c r="AT57" s="60"/>
      <c r="AU57" s="60"/>
      <c r="AV57" s="60"/>
      <c r="AW57" s="60"/>
      <c r="AX57" s="60"/>
      <c r="AY57" s="129"/>
      <c r="AZ57" s="129"/>
      <c r="BA57" s="129"/>
      <c r="BB57" s="129"/>
      <c r="BC57" s="129"/>
      <c r="BD57" s="129"/>
      <c r="BE57" s="129"/>
      <c r="BF57" s="129"/>
      <c r="BG57" s="129"/>
      <c r="BH57" s="129"/>
      <c r="BI57" s="129"/>
      <c r="BJ57" s="129"/>
      <c r="BK57" s="129"/>
      <c r="BL57" s="129"/>
      <c r="BM57" s="129"/>
      <c r="BN57" s="129"/>
      <c r="BO57" s="129"/>
      <c r="BP57" s="129"/>
      <c r="BQ57" s="129"/>
      <c r="BR57" s="129"/>
      <c r="BS57" s="129"/>
      <c r="BT57" s="129"/>
      <c r="BU57" s="129"/>
      <c r="BV57" s="129"/>
    </row>
    <row r="58" spans="2:74" hidden="1" outlineLevel="1" x14ac:dyDescent="0.35">
      <c r="B58" s="60" t="s">
        <v>76</v>
      </c>
      <c r="C58" s="60">
        <v>-2570.0921900000467</v>
      </c>
      <c r="D58" s="60">
        <v>-2305.6040700000085</v>
      </c>
      <c r="E58" s="60">
        <v>-26267.34986811001</v>
      </c>
      <c r="F58" s="60">
        <v>-15570.847909978878</v>
      </c>
      <c r="G58" s="60">
        <v>-596.39075571830836</v>
      </c>
      <c r="H58" s="60">
        <v>-11823.018889915533</v>
      </c>
      <c r="I58" s="60">
        <v>-8792.5832899653433</v>
      </c>
      <c r="J58" s="60">
        <v>-6703.8637923706628</v>
      </c>
      <c r="K58" s="60">
        <v>-1700.2471344961195</v>
      </c>
      <c r="L58" s="60">
        <v>269.14160600306423</v>
      </c>
      <c r="M58" s="60">
        <v>12289.955016025579</v>
      </c>
      <c r="N58" s="60">
        <v>39082.176868196009</v>
      </c>
      <c r="O58" s="60">
        <v>-17410.094514178018</v>
      </c>
      <c r="P58" s="60">
        <v>-20471.602436554469</v>
      </c>
      <c r="Q58" s="60">
        <v>-8636.4012193419803</v>
      </c>
      <c r="R58" s="60">
        <v>-19429.17698789623</v>
      </c>
      <c r="S58" s="60">
        <v>-9919.9209365806564</v>
      </c>
      <c r="T58" s="60">
        <v>-10335.002696798212</v>
      </c>
      <c r="U58" s="60">
        <v>-7969.9552371706486</v>
      </c>
      <c r="V58" s="60">
        <v>-5987.7854477746951</v>
      </c>
      <c r="W58" s="60">
        <v>975.2424002522348</v>
      </c>
      <c r="X58" s="60">
        <v>2789.8341950663817</v>
      </c>
      <c r="Y58" s="60">
        <v>22184.670187164385</v>
      </c>
      <c r="Z58" s="60">
        <v>54607.688580722737</v>
      </c>
      <c r="AA58" s="60">
        <v>-2570.0921900000467</v>
      </c>
      <c r="AB58" s="60">
        <v>-2305.6040700000085</v>
      </c>
      <c r="AC58" s="60">
        <v>-26267.34986811001</v>
      </c>
      <c r="AD58" s="60">
        <v>-15570.847909978878</v>
      </c>
      <c r="AE58" s="60">
        <v>-596.39075571830836</v>
      </c>
      <c r="AF58" s="60">
        <v>-11823.018889915533</v>
      </c>
      <c r="AG58" s="60">
        <v>-8792.5832899653433</v>
      </c>
      <c r="AH58" s="60">
        <v>-6703.8637923706628</v>
      </c>
      <c r="AI58" s="60">
        <v>-1700.2471344961195</v>
      </c>
      <c r="AJ58" s="60">
        <v>269.14160600306423</v>
      </c>
      <c r="AK58" s="60">
        <v>12289.955016025579</v>
      </c>
      <c r="AL58" s="60">
        <v>39082.176868196009</v>
      </c>
      <c r="AM58" s="60"/>
      <c r="AN58" s="60"/>
      <c r="AO58" s="60"/>
      <c r="AP58" s="60"/>
      <c r="AQ58" s="60"/>
      <c r="AR58" s="60"/>
      <c r="AS58" s="60"/>
      <c r="AT58" s="60"/>
      <c r="AU58" s="60"/>
      <c r="AV58" s="60"/>
      <c r="AW58" s="60"/>
      <c r="AX58" s="60"/>
      <c r="AY58" s="129"/>
      <c r="AZ58" s="129"/>
      <c r="BA58" s="129"/>
      <c r="BB58" s="129"/>
      <c r="BC58" s="129"/>
      <c r="BD58" s="129"/>
      <c r="BE58" s="129"/>
      <c r="BF58" s="129"/>
      <c r="BG58" s="129"/>
      <c r="BH58" s="129"/>
      <c r="BI58" s="129"/>
      <c r="BJ58" s="129"/>
      <c r="BK58" s="129"/>
      <c r="BL58" s="129"/>
      <c r="BM58" s="129"/>
      <c r="BN58" s="129"/>
      <c r="BO58" s="129"/>
      <c r="BP58" s="129"/>
      <c r="BQ58" s="129"/>
      <c r="BR58" s="129"/>
      <c r="BS58" s="129"/>
      <c r="BT58" s="129"/>
      <c r="BU58" s="129"/>
      <c r="BV58" s="129"/>
    </row>
    <row r="59" spans="2:74" hidden="1" outlineLevel="1" x14ac:dyDescent="0.35">
      <c r="B59" s="65" t="s">
        <v>71</v>
      </c>
      <c r="C59" s="61">
        <v>-1448.8036800000536</v>
      </c>
      <c r="D59" s="61">
        <v>-479.68613000001824</v>
      </c>
      <c r="E59" s="61">
        <v>-25950.463728109993</v>
      </c>
      <c r="F59" s="61">
        <v>-18066.040702521077</v>
      </c>
      <c r="G59" s="61">
        <v>-1957.9976965435944</v>
      </c>
      <c r="H59" s="61">
        <v>-7608.6120866422516</v>
      </c>
      <c r="I59" s="61">
        <v>-3078.6509995651068</v>
      </c>
      <c r="J59" s="61">
        <v>-3951.2109554711169</v>
      </c>
      <c r="K59" s="61">
        <v>9098.8602402636243</v>
      </c>
      <c r="L59" s="61">
        <v>10373.97875627788</v>
      </c>
      <c r="M59" s="61">
        <v>47301.745279712151</v>
      </c>
      <c r="N59" s="61">
        <v>114447.92136909439</v>
      </c>
      <c r="O59" s="61">
        <v>-10849.018920829136</v>
      </c>
      <c r="P59" s="61">
        <v>-13714.83029683544</v>
      </c>
      <c r="Q59" s="61">
        <v>-12968.277249632061</v>
      </c>
      <c r="R59" s="61">
        <v>-13311.464800582798</v>
      </c>
      <c r="S59" s="61">
        <v>-1453.4124501507758</v>
      </c>
      <c r="T59" s="61">
        <v>2244.1809578120028</v>
      </c>
      <c r="U59" s="61">
        <v>2541.5989419782818</v>
      </c>
      <c r="V59" s="61">
        <v>3577.0872964225237</v>
      </c>
      <c r="W59" s="61">
        <v>20368.966740656419</v>
      </c>
      <c r="X59" s="61">
        <v>16562.321700734505</v>
      </c>
      <c r="Y59" s="61">
        <v>64767.820104514758</v>
      </c>
      <c r="Z59" s="61">
        <v>106782.8881648854</v>
      </c>
      <c r="AA59" s="61">
        <v>-1448.8036800000536</v>
      </c>
      <c r="AB59" s="61">
        <v>-479.68613000001824</v>
      </c>
      <c r="AC59" s="61">
        <v>-25950.463728109993</v>
      </c>
      <c r="AD59" s="61">
        <v>-18066.040702521077</v>
      </c>
      <c r="AE59" s="61">
        <v>-1957.9976965435944</v>
      </c>
      <c r="AF59" s="61">
        <v>-7608.6120866422516</v>
      </c>
      <c r="AG59" s="61">
        <v>-3078.6509995651068</v>
      </c>
      <c r="AH59" s="61">
        <v>-3951.2109554711169</v>
      </c>
      <c r="AI59" s="61">
        <v>9098.8602402636243</v>
      </c>
      <c r="AJ59" s="61">
        <v>10373.97875627788</v>
      </c>
      <c r="AK59" s="61">
        <v>47301.745279712151</v>
      </c>
      <c r="AL59" s="61">
        <v>114447.92136909439</v>
      </c>
      <c r="AM59" s="61"/>
      <c r="AN59" s="61"/>
      <c r="AO59" s="61"/>
      <c r="AP59" s="61"/>
      <c r="AQ59" s="61"/>
      <c r="AR59" s="61"/>
      <c r="AS59" s="61"/>
      <c r="AT59" s="61"/>
      <c r="AU59" s="61"/>
      <c r="AV59" s="61"/>
      <c r="AW59" s="61"/>
      <c r="AX59" s="61"/>
      <c r="AY59" s="130"/>
      <c r="AZ59" s="130"/>
      <c r="BA59" s="130"/>
      <c r="BB59" s="130"/>
      <c r="BC59" s="130"/>
      <c r="BD59" s="130"/>
      <c r="BE59" s="130"/>
      <c r="BF59" s="130"/>
      <c r="BG59" s="130"/>
      <c r="BH59" s="130"/>
      <c r="BI59" s="130"/>
      <c r="BJ59" s="130"/>
      <c r="BK59" s="130"/>
      <c r="BL59" s="130"/>
      <c r="BM59" s="130"/>
      <c r="BN59" s="130"/>
      <c r="BO59" s="130"/>
      <c r="BP59" s="130"/>
      <c r="BQ59" s="130"/>
      <c r="BR59" s="130"/>
      <c r="BS59" s="130"/>
      <c r="BT59" s="130"/>
      <c r="BU59" s="130"/>
      <c r="BV59" s="130"/>
    </row>
    <row r="60" spans="2:74" ht="14.25" x14ac:dyDescent="0.45">
      <c r="B60" t="s">
        <v>77</v>
      </c>
      <c r="C60" s="61"/>
      <c r="D60" s="61"/>
      <c r="E60" s="61"/>
      <c r="F60" s="61"/>
      <c r="G60" s="61"/>
      <c r="H60" s="61"/>
      <c r="I60" s="61"/>
      <c r="J60" s="61"/>
      <c r="K60" s="61"/>
      <c r="L60" s="61"/>
      <c r="M60" s="61"/>
      <c r="N60" s="61"/>
      <c r="O60" s="61"/>
      <c r="P60" s="61"/>
      <c r="Q60" s="61"/>
      <c r="R60" s="61"/>
      <c r="S60" s="61"/>
      <c r="T60" s="61"/>
      <c r="U60" s="61"/>
      <c r="V60" s="61"/>
      <c r="W60" s="61"/>
      <c r="X60" s="61"/>
      <c r="Y60" s="61"/>
      <c r="Z60" s="61"/>
      <c r="AA60" s="41">
        <v>100.8532370626</v>
      </c>
      <c r="AB60" s="41">
        <v>89.292890797548637</v>
      </c>
      <c r="AC60" s="41">
        <v>123.24981519112708</v>
      </c>
      <c r="AD60" s="41">
        <v>106.49316250616035</v>
      </c>
      <c r="AE60" s="41">
        <v>117.79158142746593</v>
      </c>
      <c r="AF60" s="41">
        <v>125.82060403920613</v>
      </c>
      <c r="AG60" s="41">
        <v>120.18298162768062</v>
      </c>
      <c r="AH60" s="41">
        <v>131.80974670468294</v>
      </c>
      <c r="AI60" s="41">
        <v>195.28307710010839</v>
      </c>
      <c r="AJ60" s="41">
        <v>153.09345837175269</v>
      </c>
      <c r="AK60" s="41">
        <v>277.48209351334634</v>
      </c>
      <c r="AL60" s="41">
        <v>394.3717090916553</v>
      </c>
      <c r="AM60" s="41">
        <v>112.97648412000005</v>
      </c>
      <c r="AN60" s="41">
        <v>107.69804293999999</v>
      </c>
      <c r="AO60" s="41">
        <v>110.18480358999999</v>
      </c>
      <c r="AP60" s="41">
        <v>116.84866208000004</v>
      </c>
      <c r="AQ60" s="41">
        <v>108.01941813000002</v>
      </c>
      <c r="AR60" s="41">
        <v>136.61771944999998</v>
      </c>
      <c r="AS60" s="41">
        <v>114.76646621999996</v>
      </c>
      <c r="AT60" s="41">
        <v>132.89612141000001</v>
      </c>
      <c r="AU60" s="41">
        <v>163.59495847999989</v>
      </c>
      <c r="AV60" s="41">
        <v>145.52288666999999</v>
      </c>
      <c r="AW60" s="41">
        <v>260.52067795000005</v>
      </c>
      <c r="AX60" s="41">
        <v>402.66946434000005</v>
      </c>
      <c r="AY60" s="41"/>
      <c r="AZ60" s="41"/>
      <c r="BA60" s="41"/>
      <c r="BB60" s="41"/>
      <c r="BC60" s="41"/>
      <c r="BD60" s="41"/>
      <c r="BE60" s="41"/>
      <c r="BG60" s="41"/>
      <c r="BH60" s="41"/>
      <c r="BI60" s="41"/>
      <c r="BJ60" s="41"/>
      <c r="BK60" s="41"/>
      <c r="BL60" s="41"/>
      <c r="BM60" s="41"/>
      <c r="BN60" s="41"/>
      <c r="BO60" s="41"/>
      <c r="BP60" s="41"/>
      <c r="BQ60" s="41"/>
      <c r="BS60" s="41"/>
      <c r="BT60" s="41"/>
      <c r="BU60" s="41"/>
      <c r="BV60" s="41"/>
    </row>
    <row r="61" spans="2:74" ht="14.25" x14ac:dyDescent="0.45">
      <c r="B61" t="s">
        <v>78</v>
      </c>
      <c r="C61" s="61"/>
      <c r="D61" s="61"/>
      <c r="E61" s="61"/>
      <c r="F61" s="61"/>
      <c r="G61" s="61"/>
      <c r="H61" s="61"/>
      <c r="I61" s="61"/>
      <c r="J61" s="61"/>
      <c r="K61" s="61"/>
      <c r="L61" s="61"/>
      <c r="M61" s="61"/>
      <c r="N61" s="61"/>
      <c r="O61" s="61"/>
      <c r="P61" s="61"/>
      <c r="Q61" s="61"/>
      <c r="R61" s="61"/>
      <c r="S61" s="61"/>
      <c r="T61" s="61"/>
      <c r="U61" s="61"/>
      <c r="V61" s="61"/>
      <c r="W61" s="61"/>
      <c r="X61" s="61"/>
      <c r="Y61" s="61"/>
      <c r="Z61" s="61"/>
      <c r="AA61" s="41">
        <v>32.168684999999996</v>
      </c>
      <c r="AB61" s="41">
        <v>29.217013999999999</v>
      </c>
      <c r="AC61" s="41">
        <v>42.088660000000004</v>
      </c>
      <c r="AD61" s="41">
        <v>33.497443000000004</v>
      </c>
      <c r="AE61" s="41">
        <v>39.137347000000005</v>
      </c>
      <c r="AF61" s="41">
        <v>42.823639999999997</v>
      </c>
      <c r="AG61" s="41">
        <v>37.626164000000003</v>
      </c>
      <c r="AH61" s="41">
        <v>41.824945999999997</v>
      </c>
      <c r="AI61" s="41">
        <v>75.507361000000003</v>
      </c>
      <c r="AJ61" s="41">
        <v>52.382407000000001</v>
      </c>
      <c r="AK61" s="41">
        <v>124.23933399999999</v>
      </c>
      <c r="AL61" s="41">
        <v>98.213135999999992</v>
      </c>
      <c r="AM61" s="41">
        <v>36.980007899999997</v>
      </c>
      <c r="AN61" s="41">
        <v>36.131730770000004</v>
      </c>
      <c r="AO61" s="41">
        <v>33.227699260000001</v>
      </c>
      <c r="AP61" s="41">
        <v>35.130832839999997</v>
      </c>
      <c r="AQ61" s="41">
        <v>32.25050341</v>
      </c>
      <c r="AR61" s="41">
        <v>38.927121530000001</v>
      </c>
      <c r="AS61" s="41">
        <v>32.020033489999996</v>
      </c>
      <c r="AT61" s="41">
        <v>41.949460000000002</v>
      </c>
      <c r="AU61" s="41">
        <v>60.271201480000002</v>
      </c>
      <c r="AV61" s="41">
        <v>48.071912669999996</v>
      </c>
      <c r="AW61" s="41">
        <v>99.890712950000008</v>
      </c>
      <c r="AX61" s="41">
        <v>114.42514134000001</v>
      </c>
      <c r="AY61" s="41"/>
      <c r="AZ61" s="41"/>
      <c r="BA61" s="41"/>
      <c r="BB61" s="41"/>
      <c r="BC61" s="41"/>
      <c r="BD61" s="41"/>
      <c r="BE61" s="41"/>
      <c r="BF61" s="41"/>
      <c r="BG61" s="41"/>
      <c r="BH61" s="41"/>
      <c r="BI61" s="41"/>
      <c r="BJ61" s="41"/>
      <c r="BK61" s="41"/>
      <c r="BL61" s="41"/>
      <c r="BM61" s="41"/>
      <c r="BN61" s="41"/>
      <c r="BO61" s="41"/>
      <c r="BP61" s="41"/>
      <c r="BQ61" s="41"/>
      <c r="BR61" s="41"/>
      <c r="BS61" s="41"/>
      <c r="BT61" s="41"/>
      <c r="BU61" s="41"/>
      <c r="BV61" s="41"/>
    </row>
    <row r="62" spans="2:74" x14ac:dyDescent="0.35">
      <c r="B62" s="65"/>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c r="AJ62" s="61"/>
      <c r="AK62" s="61"/>
      <c r="AL62" s="61"/>
      <c r="AM62" s="61"/>
      <c r="AN62" s="61"/>
      <c r="AO62" s="61"/>
      <c r="AP62" s="61"/>
      <c r="AQ62" s="61"/>
      <c r="AR62" s="61"/>
      <c r="AS62" s="61"/>
      <c r="AT62" s="61"/>
      <c r="AU62" s="61"/>
      <c r="AV62" s="61"/>
      <c r="AW62" s="61"/>
      <c r="AX62" s="61"/>
      <c r="AY62" s="130"/>
      <c r="AZ62" s="130"/>
      <c r="BA62" s="130"/>
      <c r="BB62" s="130"/>
      <c r="BC62" s="130"/>
      <c r="BD62" s="130"/>
      <c r="BE62" s="130"/>
      <c r="BF62" s="41"/>
      <c r="BG62" s="130"/>
      <c r="BH62" s="130"/>
      <c r="BI62" s="130"/>
      <c r="BJ62" s="130"/>
      <c r="BK62" s="130"/>
      <c r="BL62" s="130"/>
      <c r="BM62" s="130"/>
      <c r="BN62" s="130"/>
      <c r="BO62" s="130"/>
      <c r="BP62" s="130"/>
      <c r="BQ62" s="130"/>
      <c r="BR62" s="41"/>
      <c r="BS62" s="130"/>
      <c r="BT62" s="130"/>
      <c r="BU62" s="130"/>
      <c r="BV62" s="130"/>
    </row>
    <row r="63" spans="2:74" x14ac:dyDescent="0.35">
      <c r="B63" s="65"/>
      <c r="C63" s="61"/>
      <c r="D63" s="61"/>
      <c r="E63" s="61"/>
      <c r="F63" s="6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61"/>
      <c r="AK63" s="61"/>
      <c r="AL63" s="61"/>
      <c r="AM63" s="61"/>
      <c r="AN63" s="61"/>
      <c r="AO63" s="61"/>
      <c r="AP63" s="61"/>
      <c r="AQ63" s="61"/>
      <c r="AR63" s="61"/>
      <c r="AS63" s="61"/>
      <c r="AT63" s="61"/>
      <c r="AU63" s="61"/>
      <c r="AV63" s="61"/>
      <c r="AW63" s="61"/>
      <c r="AX63" s="61"/>
      <c r="AY63" s="130"/>
      <c r="AZ63" s="130"/>
      <c r="BA63" s="130"/>
      <c r="BB63" s="130"/>
      <c r="BC63" s="130"/>
      <c r="BD63" s="130"/>
      <c r="BE63" s="130"/>
      <c r="BF63" s="167"/>
      <c r="BG63" s="130"/>
      <c r="BH63" s="130"/>
      <c r="BI63" s="130"/>
      <c r="BJ63" s="130"/>
      <c r="BK63" s="130"/>
      <c r="BL63" s="130"/>
      <c r="BM63" s="130"/>
      <c r="BN63" s="130"/>
      <c r="BO63" s="130"/>
      <c r="BP63" s="130"/>
      <c r="BQ63" s="130"/>
      <c r="BR63" s="167"/>
      <c r="BS63" s="130"/>
      <c r="BT63" s="130"/>
      <c r="BU63" s="130"/>
      <c r="BV63" s="130"/>
    </row>
    <row r="64" spans="2:74" x14ac:dyDescent="0.35">
      <c r="B64" s="35" t="s">
        <v>79</v>
      </c>
      <c r="AA64" s="99">
        <f t="shared" ref="AA64:AK64" si="69">AA61/AA60</f>
        <v>0.31896531967568642</v>
      </c>
      <c r="AB64" s="99">
        <f t="shared" si="69"/>
        <v>0.32720425712549667</v>
      </c>
      <c r="AC64" s="99">
        <f t="shared" si="69"/>
        <v>0.34149065404059137</v>
      </c>
      <c r="AD64" s="99">
        <f t="shared" si="69"/>
        <v>0.31455017591446088</v>
      </c>
      <c r="AE64" s="99">
        <f t="shared" si="69"/>
        <v>0.33225928819115247</v>
      </c>
      <c r="AF64" s="99">
        <f t="shared" si="69"/>
        <v>0.3403547481512329</v>
      </c>
      <c r="AG64" s="99">
        <f t="shared" si="69"/>
        <v>0.31307397678452936</v>
      </c>
      <c r="AH64" s="99">
        <f t="shared" si="69"/>
        <v>0.31731299881569414</v>
      </c>
      <c r="AI64" s="99">
        <f t="shared" si="69"/>
        <v>0.38665593619918487</v>
      </c>
      <c r="AJ64" s="99">
        <f t="shared" si="69"/>
        <v>0.34215966872210324</v>
      </c>
      <c r="AK64" s="99">
        <f t="shared" si="69"/>
        <v>0.44773820330869141</v>
      </c>
      <c r="AL64" s="99">
        <f>AL61/AL60</f>
        <v>0.249036971303574</v>
      </c>
      <c r="AM64" s="99">
        <f t="shared" ref="AM64:AX64" si="70">AM61/AM60</f>
        <v>0.32732482505581428</v>
      </c>
      <c r="AN64" s="99">
        <f t="shared" si="70"/>
        <v>0.33549106170972365</v>
      </c>
      <c r="AO64" s="99">
        <f t="shared" si="70"/>
        <v>0.30156335699105097</v>
      </c>
      <c r="AP64" s="99">
        <f t="shared" si="70"/>
        <v>0.30065241839010354</v>
      </c>
      <c r="AQ64" s="99">
        <f t="shared" si="70"/>
        <v>0.2985620915971508</v>
      </c>
      <c r="AR64" s="99">
        <f t="shared" si="70"/>
        <v>0.28493464600868806</v>
      </c>
      <c r="AS64" s="99">
        <f t="shared" si="70"/>
        <v>0.27900165043523817</v>
      </c>
      <c r="AT64" s="99">
        <f t="shared" si="70"/>
        <v>0.3156560142984236</v>
      </c>
      <c r="AU64" s="99">
        <f t="shared" si="70"/>
        <v>0.36841723021292483</v>
      </c>
      <c r="AV64" s="99">
        <f t="shared" si="70"/>
        <v>0.33033919110615179</v>
      </c>
      <c r="AW64" s="99">
        <f t="shared" si="70"/>
        <v>0.38342719563001965</v>
      </c>
      <c r="AX64" s="99">
        <f t="shared" si="70"/>
        <v>0.28416642301782141</v>
      </c>
      <c r="AY64" s="99"/>
      <c r="AZ64" s="99"/>
      <c r="BA64" s="99"/>
      <c r="BB64" s="99"/>
      <c r="BC64" s="99"/>
      <c r="BD64" s="99"/>
      <c r="BE64" s="99"/>
      <c r="BF64" s="99"/>
      <c r="BG64" s="99"/>
      <c r="BH64" s="99"/>
      <c r="BI64" s="99"/>
      <c r="BJ64" s="99"/>
      <c r="BK64" s="99"/>
      <c r="BL64" s="99"/>
      <c r="BM64" s="99"/>
      <c r="BN64" s="99"/>
      <c r="BO64" s="99"/>
      <c r="BP64" s="99"/>
      <c r="BQ64" s="99"/>
      <c r="BR64" s="99"/>
      <c r="BS64" s="99"/>
      <c r="BT64" s="99"/>
      <c r="BU64" s="99"/>
      <c r="BV64" s="99"/>
    </row>
    <row r="65" spans="2:86" x14ac:dyDescent="0.35">
      <c r="B65" s="35" t="s">
        <v>87</v>
      </c>
      <c r="AB65" s="100"/>
    </row>
    <row r="66" spans="2:86" x14ac:dyDescent="0.35">
      <c r="B66" s="35" t="s">
        <v>81</v>
      </c>
      <c r="AL66" s="21">
        <v>871</v>
      </c>
      <c r="AX66" s="21">
        <v>878</v>
      </c>
    </row>
    <row r="68" spans="2:86" ht="13.15" x14ac:dyDescent="0.4">
      <c r="B68" s="21" t="s">
        <v>82</v>
      </c>
      <c r="AM68" s="73">
        <v>-1.803673892857143</v>
      </c>
      <c r="AN68" s="73">
        <v>-4.1539738928571426</v>
      </c>
      <c r="AO68" s="73">
        <v>-1.7990698928571429</v>
      </c>
      <c r="AP68" s="73">
        <v>-2.2862238928571426</v>
      </c>
      <c r="AQ68" s="73">
        <v>-1.6814738928571429</v>
      </c>
      <c r="AR68" s="73">
        <v>-2.7774738928571425</v>
      </c>
      <c r="AS68" s="73">
        <v>-4.050523892857143</v>
      </c>
      <c r="AT68" s="73">
        <v>-5.4605409188571432</v>
      </c>
      <c r="AU68" s="73">
        <v>-3.2034738928571427</v>
      </c>
      <c r="AV68" s="73">
        <v>-5.4259738928571428</v>
      </c>
      <c r="AW68" s="73">
        <v>-2.8094738928571426</v>
      </c>
      <c r="AX68" s="73">
        <v>-2.8049738928571428</v>
      </c>
      <c r="AY68" s="73">
        <v>-2.6072760000000001</v>
      </c>
      <c r="AZ68" s="73">
        <v>-7.5218850000000002</v>
      </c>
      <c r="BA68" s="73">
        <v>-3.3938950000000001</v>
      </c>
      <c r="BB68" s="73">
        <v>-3.101896</v>
      </c>
      <c r="BC68" s="73">
        <v>-1.8657943643531925</v>
      </c>
      <c r="BD68" s="73">
        <v>-0.34211240000000004</v>
      </c>
      <c r="BE68" s="73">
        <v>-0.116927</v>
      </c>
      <c r="BF68" s="73">
        <v>0</v>
      </c>
      <c r="BG68" s="73">
        <v>-4.6829999999999997E-2</v>
      </c>
      <c r="BH68" s="73">
        <v>-2.5</v>
      </c>
      <c r="BI68" s="73">
        <v>0</v>
      </c>
      <c r="BJ68" s="73">
        <v>-0.105</v>
      </c>
      <c r="BK68" s="73">
        <v>0</v>
      </c>
      <c r="BL68" s="73">
        <v>0</v>
      </c>
      <c r="BM68" s="73">
        <v>0</v>
      </c>
      <c r="BN68" s="73">
        <v>0</v>
      </c>
      <c r="BO68" s="73">
        <v>0</v>
      </c>
      <c r="BP68" s="73">
        <v>0</v>
      </c>
      <c r="BQ68" s="73">
        <v>0</v>
      </c>
      <c r="BR68" s="73">
        <v>0</v>
      </c>
      <c r="BS68" s="73">
        <v>0</v>
      </c>
      <c r="BT68" s="73">
        <v>0</v>
      </c>
      <c r="BU68" s="73">
        <v>0</v>
      </c>
      <c r="BV68" s="73">
        <v>0</v>
      </c>
      <c r="BW68" s="73">
        <v>0</v>
      </c>
      <c r="BX68" s="73">
        <v>0</v>
      </c>
      <c r="BY68" s="73">
        <v>0</v>
      </c>
      <c r="BZ68" s="73">
        <v>0</v>
      </c>
      <c r="CA68" s="73">
        <v>0</v>
      </c>
      <c r="CB68" s="73">
        <v>0</v>
      </c>
      <c r="CC68" s="73">
        <v>0</v>
      </c>
      <c r="CD68" s="73">
        <v>0</v>
      </c>
      <c r="CE68" s="73">
        <v>0</v>
      </c>
      <c r="CF68" s="73">
        <v>0</v>
      </c>
      <c r="CG68" s="73">
        <v>0</v>
      </c>
      <c r="CH68" s="73">
        <v>0</v>
      </c>
    </row>
    <row r="72" spans="2:86" x14ac:dyDescent="0.35">
      <c r="B72" s="21">
        <v>1000000</v>
      </c>
    </row>
    <row r="73" spans="2:86" x14ac:dyDescent="0.35">
      <c r="BF73" s="66"/>
      <c r="BR73" s="66"/>
    </row>
    <row r="74" spans="2:86" x14ac:dyDescent="0.35">
      <c r="AM74" s="111"/>
      <c r="AN74" s="111"/>
      <c r="AO74" s="111"/>
      <c r="AP74" s="111"/>
      <c r="AQ74" s="111"/>
      <c r="AR74" s="111"/>
      <c r="AS74" s="111"/>
      <c r="AT74" s="111"/>
      <c r="AU74" s="111"/>
      <c r="AV74" s="111"/>
      <c r="AW74" s="111"/>
      <c r="AX74" s="111"/>
      <c r="BF74" s="66"/>
      <c r="BR74" s="66"/>
    </row>
    <row r="75" spans="2:86" x14ac:dyDescent="0.35">
      <c r="AY75" s="101"/>
      <c r="AZ75" s="101"/>
      <c r="BA75" s="101"/>
      <c r="BB75" s="101"/>
      <c r="BC75" s="101"/>
      <c r="BD75" s="101"/>
      <c r="BE75" s="101"/>
      <c r="BF75" s="101"/>
      <c r="BG75" s="101"/>
      <c r="BH75" s="101"/>
      <c r="BI75" s="101"/>
      <c r="BJ75" s="101"/>
      <c r="BK75" s="101"/>
      <c r="BL75" s="101"/>
      <c r="BM75" s="101"/>
      <c r="BN75" s="101"/>
      <c r="BO75" s="101"/>
      <c r="BP75" s="101"/>
      <c r="BQ75" s="101"/>
      <c r="BR75" s="101"/>
      <c r="BS75" s="101"/>
      <c r="BT75" s="101"/>
      <c r="BU75" s="101"/>
      <c r="BV75" s="101"/>
    </row>
  </sheetData>
  <mergeCells count="7">
    <mergeCell ref="BW10:CH10"/>
    <mergeCell ref="BK10:BV10"/>
    <mergeCell ref="C10:N10"/>
    <mergeCell ref="O10:Z10"/>
    <mergeCell ref="AA10:AL10"/>
    <mergeCell ref="AM10:AX10"/>
    <mergeCell ref="AY10:BJ10"/>
  </mergeCells>
  <pageMargins left="0.7" right="0.7" top="0.75" bottom="0.75" header="0.3" footer="0.3"/>
  <pageSetup orientation="portrait" r:id="rId1"/>
  <ignoredErrors>
    <ignoredError sqref="BW2" formula="1"/>
  </ignoredError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79FCD-7624-4BE3-86D4-4C2BC1A34FA6}">
  <dimension ref="B2:D16"/>
  <sheetViews>
    <sheetView zoomScale="85" zoomScaleNormal="85" workbookViewId="0"/>
  </sheetViews>
  <sheetFormatPr defaultColWidth="8.6640625" defaultRowHeight="14.25" x14ac:dyDescent="0.45"/>
  <cols>
    <col min="1" max="1" width="3" customWidth="1"/>
    <col min="2" max="2" width="11.1328125" customWidth="1"/>
    <col min="3" max="3" width="27.33203125" customWidth="1"/>
    <col min="4" max="4" width="16.6640625" customWidth="1"/>
  </cols>
  <sheetData>
    <row r="2" spans="2:4" ht="15.75" x14ac:dyDescent="0.5">
      <c r="B2" s="14" t="s">
        <v>33</v>
      </c>
      <c r="C2" s="15" t="s">
        <v>34</v>
      </c>
    </row>
    <row r="4" spans="2:4" ht="15.75" x14ac:dyDescent="0.5">
      <c r="B4" s="13" t="s">
        <v>35</v>
      </c>
      <c r="C4" s="13" t="s">
        <v>88</v>
      </c>
      <c r="D4" s="13" t="s">
        <v>49</v>
      </c>
    </row>
    <row r="5" spans="2:4" x14ac:dyDescent="0.45">
      <c r="B5" t="s">
        <v>34</v>
      </c>
      <c r="C5">
        <v>1</v>
      </c>
      <c r="D5">
        <f>IF(B5=$C$2,1,D16+1)</f>
        <v>1</v>
      </c>
    </row>
    <row r="6" spans="2:4" x14ac:dyDescent="0.45">
      <c r="B6" t="s">
        <v>38</v>
      </c>
      <c r="C6">
        <v>2</v>
      </c>
      <c r="D6">
        <f t="shared" ref="D6:D16" si="0">IF(B6=$C$2,1,D5+1)</f>
        <v>2</v>
      </c>
    </row>
    <row r="7" spans="2:4" x14ac:dyDescent="0.45">
      <c r="B7" t="s">
        <v>39</v>
      </c>
      <c r="C7">
        <v>3</v>
      </c>
      <c r="D7">
        <f t="shared" si="0"/>
        <v>3</v>
      </c>
    </row>
    <row r="8" spans="2:4" x14ac:dyDescent="0.45">
      <c r="B8" t="s">
        <v>40</v>
      </c>
      <c r="C8">
        <v>4</v>
      </c>
      <c r="D8">
        <f t="shared" si="0"/>
        <v>4</v>
      </c>
    </row>
    <row r="9" spans="2:4" x14ac:dyDescent="0.45">
      <c r="B9" t="s">
        <v>41</v>
      </c>
      <c r="C9">
        <v>5</v>
      </c>
      <c r="D9">
        <f t="shared" si="0"/>
        <v>5</v>
      </c>
    </row>
    <row r="10" spans="2:4" x14ac:dyDescent="0.45">
      <c r="B10" t="s">
        <v>42</v>
      </c>
      <c r="C10">
        <v>6</v>
      </c>
      <c r="D10">
        <f t="shared" si="0"/>
        <v>6</v>
      </c>
    </row>
    <row r="11" spans="2:4" x14ac:dyDescent="0.45">
      <c r="B11" t="s">
        <v>6</v>
      </c>
      <c r="C11">
        <v>7</v>
      </c>
      <c r="D11">
        <f t="shared" si="0"/>
        <v>7</v>
      </c>
    </row>
    <row r="12" spans="2:4" x14ac:dyDescent="0.45">
      <c r="B12" t="s">
        <v>43</v>
      </c>
      <c r="C12">
        <v>8</v>
      </c>
      <c r="D12">
        <f t="shared" si="0"/>
        <v>8</v>
      </c>
    </row>
    <row r="13" spans="2:4" x14ac:dyDescent="0.45">
      <c r="B13" t="s">
        <v>44</v>
      </c>
      <c r="C13">
        <v>9</v>
      </c>
      <c r="D13">
        <f t="shared" si="0"/>
        <v>9</v>
      </c>
    </row>
    <row r="14" spans="2:4" x14ac:dyDescent="0.45">
      <c r="B14" t="s">
        <v>45</v>
      </c>
      <c r="C14">
        <v>10</v>
      </c>
      <c r="D14">
        <f t="shared" si="0"/>
        <v>10</v>
      </c>
    </row>
    <row r="15" spans="2:4" x14ac:dyDescent="0.45">
      <c r="B15" t="s">
        <v>46</v>
      </c>
      <c r="C15">
        <v>11</v>
      </c>
      <c r="D15">
        <f t="shared" si="0"/>
        <v>11</v>
      </c>
    </row>
    <row r="16" spans="2:4" x14ac:dyDescent="0.45">
      <c r="B16" t="s">
        <v>47</v>
      </c>
      <c r="C16">
        <v>12</v>
      </c>
      <c r="D16">
        <f t="shared" si="0"/>
        <v>12</v>
      </c>
    </row>
  </sheetData>
  <phoneticPr fontId="28" type="noConversion"/>
  <dataValidations count="1">
    <dataValidation type="list" allowBlank="1" showInputMessage="1" showErrorMessage="1" sqref="C2" xr:uid="{98C7834E-FE5B-4F58-A665-F6BE7466E3A1}">
      <formula1>$B$5:$B$16</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F56738871F84346AF9EE1FB0E042A49" ma:contentTypeVersion="12" ma:contentTypeDescription="Create a new document." ma:contentTypeScope="" ma:versionID="267dbbe2cb58e957e67cda6eea5002f3">
  <xsd:schema xmlns:xsd="http://www.w3.org/2001/XMLSchema" xmlns:xs="http://www.w3.org/2001/XMLSchema" xmlns:p="http://schemas.microsoft.com/office/2006/metadata/properties" xmlns:ns2="6c8f4c70-4f14-4bea-9f53-0f3ac7ef646b" xmlns:ns3="feefa081-7aa5-405e-8704-bd1a9b1e8385" targetNamespace="http://schemas.microsoft.com/office/2006/metadata/properties" ma:root="true" ma:fieldsID="53034d81b6c4a79bd203cef341ae9148" ns2:_="" ns3:_="">
    <xsd:import namespace="6c8f4c70-4f14-4bea-9f53-0f3ac7ef646b"/>
    <xsd:import namespace="feefa081-7aa5-405e-8704-bd1a9b1e838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c8f4c70-4f14-4bea-9f53-0f3ac7ef64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descriptio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bc8b10f-6f2d-4fa9-8526-3fe257a69e69"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eefa081-7aa5-405e-8704-bd1a9b1e8385"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4ad1258-2b39-4f8b-a3e8-5ed2d91f356d}" ma:internalName="TaxCatchAll" ma:showField="CatchAllData" ma:web="feefa081-7aa5-405e-8704-bd1a9b1e83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eefa081-7aa5-405e-8704-bd1a9b1e8385" xsi:nil="true"/>
    <lcf76f155ced4ddcb4097134ff3c332f xmlns="6c8f4c70-4f14-4bea-9f53-0f3ac7ef646b">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3ADF1FB7-C160-48F4-B891-51DE2B152596}">
  <ds:schemaRefs>
    <ds:schemaRef ds:uri="http://schemas.microsoft.com/sharepoint/v3/contenttype/forms"/>
  </ds:schemaRefs>
</ds:datastoreItem>
</file>

<file path=customXml/itemProps2.xml><?xml version="1.0" encoding="utf-8"?>
<ds:datastoreItem xmlns:ds="http://schemas.openxmlformats.org/officeDocument/2006/customXml" ds:itemID="{FF2AF688-8B12-47E9-A8B8-F0D7B3161E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c8f4c70-4f14-4bea-9f53-0f3ac7ef646b"/>
    <ds:schemaRef ds:uri="feefa081-7aa5-405e-8704-bd1a9b1e83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9EAD331-5E94-4905-858A-B09DB9DDC20C}">
  <ds:schemaRefs>
    <ds:schemaRef ds:uri="http://purl.org/dc/dcmitype/"/>
    <ds:schemaRef ds:uri="6c8f4c70-4f14-4bea-9f53-0f3ac7ef646b"/>
    <ds:schemaRef ds:uri="http://purl.org/dc/elements/1.1/"/>
    <ds:schemaRef ds:uri="http://purl.org/dc/terms/"/>
    <ds:schemaRef ds:uri="http://schemas.microsoft.com/office/infopath/2007/PartnerControls"/>
    <ds:schemaRef ds:uri="http://schemas.openxmlformats.org/package/2006/metadata/core-properties"/>
    <ds:schemaRef ds:uri="http://schemas.microsoft.com/office/2006/documentManagement/types"/>
    <ds:schemaRef ds:uri="feefa081-7aa5-405e-8704-bd1a9b1e8385"/>
    <ds:schemaRef ds:uri="http://schemas.microsoft.com/office/2006/metadata/properties"/>
    <ds:schemaRef ds:uri="http://www.w3.org/XML/1998/namespace"/>
  </ds:schemaRefs>
</ds:datastoreItem>
</file>

<file path=customXml/itemProps4.xml><?xml version="1.0" encoding="utf-8"?>
<ds:datastoreItem xmlns:ds="http://schemas.openxmlformats.org/officeDocument/2006/customXml" ds:itemID="{CB3E4B63-9C28-4D90-B530-AE4ED087B25A}">
  <ds:schemaRefs>
    <ds:schemaRef ds:uri="http://schemas.microsoft.com/DataMashup"/>
  </ds:schemaRefs>
</ds:datastoreItem>
</file>

<file path=docMetadata/LabelInfo.xml><?xml version="1.0" encoding="utf-8"?>
<clbl:labelList xmlns:clbl="http://schemas.microsoft.com/office/2020/mipLabelMetadata">
  <clbl:label id="{9cf121a2-1a94-4f6d-84cd-f8a8055d743c}" enabled="0" method="" siteId="{9cf121a2-1a94-4f6d-84cd-f8a8055d743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EMG</vt:lpstr>
      <vt:lpstr>Sources ---&gt;</vt:lpstr>
      <vt:lpstr>FX</vt:lpstr>
      <vt:lpstr>EMG_act</vt:lpstr>
      <vt:lpstr>EMG_bud</vt:lpstr>
      <vt:lpstr>LoV</vt:lpstr>
      <vt:lpstr>EMG!Print_Area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Ondřej Rosický</cp:lastModifiedBy>
  <cp:revision/>
  <dcterms:created xsi:type="dcterms:W3CDTF">2020-05-25T10:33:57Z</dcterms:created>
  <dcterms:modified xsi:type="dcterms:W3CDTF">2026-05-29T22:52:20Z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0x0101003F56738871F84346AF9EE1FB0E042A49</vt:lpwstr>
  </property>
  <property fmtid="{D5CDD505-2E9C-101B-9397-08002B2CF9AE}" pid="3" name="{A44787D4-0540-4523-9961-78E4036D8C6D}">
    <vt:lpwstr>{D953E5F3-9A78-4D86-AF76-FE6D4E704E33}</vt:lpwstr>
  </property>
  <property fmtid="{D5CDD505-2E9C-101B-9397-08002B2CF9AE}" pid="4" name="MediaServiceImageTags">
    <vt:lpwstr/>
  </property>
</Properties>
</file>